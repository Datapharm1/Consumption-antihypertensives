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PA Research\"/>
    </mc:Choice>
  </mc:AlternateContent>
  <bookViews>
    <workbookView xWindow="0" yWindow="0" windowWidth="24000" windowHeight="9735" activeTab="3"/>
  </bookViews>
  <sheets>
    <sheet name="total dispensed and consumption" sheetId="2" r:id="rId1"/>
    <sheet name="probability" sheetId="6" r:id="rId2"/>
    <sheet name="Early refill" sheetId="3" r:id="rId3"/>
    <sheet name="left_over tablets" sheetId="4" r:id="rId4"/>
  </sheets>
  <calcPr calcId="152511"/>
</workbook>
</file>

<file path=xl/calcChain.xml><?xml version="1.0" encoding="utf-8"?>
<calcChain xmlns="http://schemas.openxmlformats.org/spreadsheetml/2006/main">
  <c r="Z5" i="2" l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4" i="2"/>
  <c r="F2" i="4"/>
  <c r="F6" i="4"/>
  <c r="F10" i="4"/>
  <c r="F14" i="4"/>
  <c r="F18" i="4"/>
  <c r="F22" i="4"/>
  <c r="F26" i="4"/>
  <c r="F30" i="4"/>
  <c r="F34" i="4"/>
  <c r="F38" i="4"/>
  <c r="F42" i="4"/>
  <c r="F46" i="4"/>
  <c r="F50" i="4"/>
  <c r="F54" i="4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1" i="3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4" i="2"/>
  <c r="N5" i="2"/>
  <c r="S5" i="2" s="1"/>
  <c r="T5" i="2" s="1"/>
  <c r="N6" i="2"/>
  <c r="N7" i="2"/>
  <c r="N8" i="2"/>
  <c r="N9" i="2"/>
  <c r="S9" i="2" s="1"/>
  <c r="T9" i="2" s="1"/>
  <c r="N10" i="2"/>
  <c r="N11" i="2"/>
  <c r="N12" i="2"/>
  <c r="N13" i="2"/>
  <c r="S13" i="2" s="1"/>
  <c r="T13" i="2" s="1"/>
  <c r="U13" i="2" s="1"/>
  <c r="N14" i="2"/>
  <c r="N15" i="2"/>
  <c r="N16" i="2"/>
  <c r="N17" i="2"/>
  <c r="S17" i="2" s="1"/>
  <c r="T17" i="2" s="1"/>
  <c r="N18" i="2"/>
  <c r="N19" i="2"/>
  <c r="N20" i="2"/>
  <c r="N21" i="2"/>
  <c r="S21" i="2" s="1"/>
  <c r="T21" i="2" s="1"/>
  <c r="N22" i="2"/>
  <c r="N23" i="2"/>
  <c r="N24" i="2"/>
  <c r="N25" i="2"/>
  <c r="S25" i="2" s="1"/>
  <c r="T25" i="2" s="1"/>
  <c r="N26" i="2"/>
  <c r="N27" i="2"/>
  <c r="N28" i="2"/>
  <c r="N29" i="2"/>
  <c r="S29" i="2" s="1"/>
  <c r="T29" i="2" s="1"/>
  <c r="N30" i="2"/>
  <c r="N31" i="2"/>
  <c r="N32" i="2"/>
  <c r="N33" i="2"/>
  <c r="S33" i="2" s="1"/>
  <c r="T33" i="2" s="1"/>
  <c r="N34" i="2"/>
  <c r="N35" i="2"/>
  <c r="N36" i="2"/>
  <c r="N37" i="2"/>
  <c r="S37" i="2" s="1"/>
  <c r="T37" i="2" s="1"/>
  <c r="N38" i="2"/>
  <c r="N39" i="2"/>
  <c r="N40" i="2"/>
  <c r="N41" i="2"/>
  <c r="S41" i="2" s="1"/>
  <c r="T41" i="2" s="1"/>
  <c r="N42" i="2"/>
  <c r="N43" i="2"/>
  <c r="N44" i="2"/>
  <c r="N45" i="2"/>
  <c r="S45" i="2" s="1"/>
  <c r="T45" i="2" s="1"/>
  <c r="N46" i="2"/>
  <c r="N47" i="2"/>
  <c r="N48" i="2"/>
  <c r="N49" i="2"/>
  <c r="S49" i="2" s="1"/>
  <c r="T49" i="2" s="1"/>
  <c r="N50" i="2"/>
  <c r="N51" i="2"/>
  <c r="N52" i="2"/>
  <c r="N53" i="2"/>
  <c r="S53" i="2" s="1"/>
  <c r="T53" i="2" s="1"/>
  <c r="N54" i="2"/>
  <c r="N55" i="2"/>
  <c r="N56" i="2"/>
  <c r="N57" i="2"/>
  <c r="S57" i="2" s="1"/>
  <c r="T57" i="2" s="1"/>
  <c r="N58" i="2"/>
  <c r="N59" i="2"/>
  <c r="N60" i="2"/>
  <c r="N4" i="2"/>
  <c r="S4" i="2" s="1"/>
  <c r="T4" i="2" s="1"/>
  <c r="F3" i="4"/>
  <c r="F4" i="4"/>
  <c r="F5" i="4"/>
  <c r="F7" i="4"/>
  <c r="F8" i="4"/>
  <c r="F9" i="4"/>
  <c r="F11" i="4"/>
  <c r="F12" i="4"/>
  <c r="F13" i="4"/>
  <c r="F15" i="4"/>
  <c r="F16" i="4"/>
  <c r="F17" i="4"/>
  <c r="F19" i="4"/>
  <c r="F20" i="4"/>
  <c r="F21" i="4"/>
  <c r="F23" i="4"/>
  <c r="F24" i="4"/>
  <c r="F25" i="4"/>
  <c r="F27" i="4"/>
  <c r="F28" i="4"/>
  <c r="F29" i="4"/>
  <c r="F31" i="4"/>
  <c r="F32" i="4"/>
  <c r="F33" i="4"/>
  <c r="F35" i="4"/>
  <c r="F36" i="4"/>
  <c r="F37" i="4"/>
  <c r="F39" i="4"/>
  <c r="F40" i="4"/>
  <c r="F41" i="4"/>
  <c r="F43" i="4"/>
  <c r="F44" i="4"/>
  <c r="F45" i="4"/>
  <c r="F47" i="4"/>
  <c r="F48" i="4"/>
  <c r="F49" i="4"/>
  <c r="F51" i="4"/>
  <c r="F52" i="4"/>
  <c r="F53" i="4"/>
  <c r="F55" i="4"/>
  <c r="F56" i="4"/>
  <c r="F57" i="4"/>
  <c r="F58" i="4"/>
  <c r="F59" i="4"/>
  <c r="B3" i="4"/>
  <c r="C3" i="4" s="1"/>
  <c r="B4" i="4"/>
  <c r="C4" i="4" s="1"/>
  <c r="B5" i="4"/>
  <c r="C5" i="4" s="1"/>
  <c r="B6" i="4"/>
  <c r="C6" i="4" s="1"/>
  <c r="B7" i="4"/>
  <c r="C7" i="4" s="1"/>
  <c r="B8" i="4"/>
  <c r="C8" i="4" s="1"/>
  <c r="B9" i="4"/>
  <c r="C9" i="4" s="1"/>
  <c r="B10" i="4"/>
  <c r="C10" i="4" s="1"/>
  <c r="B11" i="4"/>
  <c r="C11" i="4" s="1"/>
  <c r="B12" i="4"/>
  <c r="C12" i="4" s="1"/>
  <c r="B13" i="4"/>
  <c r="C13" i="4" s="1"/>
  <c r="B14" i="4"/>
  <c r="C14" i="4" s="1"/>
  <c r="B15" i="4"/>
  <c r="C15" i="4" s="1"/>
  <c r="B16" i="4"/>
  <c r="C16" i="4" s="1"/>
  <c r="B17" i="4"/>
  <c r="C17" i="4" s="1"/>
  <c r="B18" i="4"/>
  <c r="C18" i="4" s="1"/>
  <c r="B19" i="4"/>
  <c r="C19" i="4" s="1"/>
  <c r="B20" i="4"/>
  <c r="C20" i="4" s="1"/>
  <c r="B21" i="4"/>
  <c r="C21" i="4" s="1"/>
  <c r="B22" i="4"/>
  <c r="C22" i="4" s="1"/>
  <c r="B23" i="4"/>
  <c r="C23" i="4" s="1"/>
  <c r="B24" i="4"/>
  <c r="C24" i="4" s="1"/>
  <c r="B25" i="4"/>
  <c r="C25" i="4" s="1"/>
  <c r="B26" i="4"/>
  <c r="C26" i="4" s="1"/>
  <c r="B27" i="4"/>
  <c r="C27" i="4" s="1"/>
  <c r="B28" i="4"/>
  <c r="C28" i="4" s="1"/>
  <c r="B29" i="4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40" i="4"/>
  <c r="C40" i="4" s="1"/>
  <c r="B41" i="4"/>
  <c r="C41" i="4" s="1"/>
  <c r="B42" i="4"/>
  <c r="C42" i="4" s="1"/>
  <c r="B43" i="4"/>
  <c r="C43" i="4" s="1"/>
  <c r="B44" i="4"/>
  <c r="C44" i="4" s="1"/>
  <c r="B45" i="4"/>
  <c r="C45" i="4" s="1"/>
  <c r="B46" i="4"/>
  <c r="C46" i="4" s="1"/>
  <c r="B47" i="4"/>
  <c r="C47" i="4" s="1"/>
  <c r="B48" i="4"/>
  <c r="C48" i="4" s="1"/>
  <c r="B49" i="4"/>
  <c r="C49" i="4" s="1"/>
  <c r="B50" i="4"/>
  <c r="C50" i="4" s="1"/>
  <c r="B51" i="4"/>
  <c r="C51" i="4" s="1"/>
  <c r="B52" i="4"/>
  <c r="C52" i="4" s="1"/>
  <c r="B53" i="4"/>
  <c r="C53" i="4" s="1"/>
  <c r="B54" i="4"/>
  <c r="C54" i="4" s="1"/>
  <c r="B55" i="4"/>
  <c r="C55" i="4" s="1"/>
  <c r="B56" i="4"/>
  <c r="C56" i="4" s="1"/>
  <c r="B57" i="4"/>
  <c r="C57" i="4" s="1"/>
  <c r="B2" i="4"/>
  <c r="C2" i="4" s="1"/>
  <c r="C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S60" i="2" l="1"/>
  <c r="T60" i="2" s="1"/>
  <c r="S52" i="2"/>
  <c r="T52" i="2" s="1"/>
  <c r="S44" i="2"/>
  <c r="T44" i="2" s="1"/>
  <c r="S32" i="2"/>
  <c r="T32" i="2" s="1"/>
  <c r="S12" i="2"/>
  <c r="T12" i="2" s="1"/>
  <c r="S23" i="2"/>
  <c r="T23" i="2" s="1"/>
  <c r="S7" i="2"/>
  <c r="T7" i="2" s="1"/>
  <c r="S56" i="2"/>
  <c r="T56" i="2" s="1"/>
  <c r="S48" i="2"/>
  <c r="T48" i="2" s="1"/>
  <c r="S40" i="2"/>
  <c r="T40" i="2" s="1"/>
  <c r="S36" i="2"/>
  <c r="T36" i="2" s="1"/>
  <c r="S28" i="2"/>
  <c r="T28" i="2" s="1"/>
  <c r="S24" i="2"/>
  <c r="T24" i="2" s="1"/>
  <c r="S20" i="2"/>
  <c r="T20" i="2" s="1"/>
  <c r="S16" i="2"/>
  <c r="T16" i="2" s="1"/>
  <c r="S8" i="2"/>
  <c r="T8" i="2" s="1"/>
  <c r="S59" i="2"/>
  <c r="T59" i="2" s="1"/>
  <c r="S55" i="2"/>
  <c r="T55" i="2" s="1"/>
  <c r="S51" i="2"/>
  <c r="T51" i="2" s="1"/>
  <c r="S47" i="2"/>
  <c r="T47" i="2" s="1"/>
  <c r="S43" i="2"/>
  <c r="T43" i="2" s="1"/>
  <c r="S39" i="2"/>
  <c r="T39" i="2" s="1"/>
  <c r="S35" i="2"/>
  <c r="T35" i="2" s="1"/>
  <c r="S31" i="2"/>
  <c r="T31" i="2" s="1"/>
  <c r="S27" i="2"/>
  <c r="T27" i="2" s="1"/>
  <c r="S19" i="2"/>
  <c r="T19" i="2" s="1"/>
  <c r="S15" i="2"/>
  <c r="T15" i="2" s="1"/>
  <c r="S11" i="2"/>
  <c r="T11" i="2" s="1"/>
  <c r="S58" i="2"/>
  <c r="T58" i="2" s="1"/>
  <c r="S54" i="2"/>
  <c r="T54" i="2" s="1"/>
  <c r="S50" i="2"/>
  <c r="T50" i="2" s="1"/>
  <c r="S46" i="2"/>
  <c r="T46" i="2" s="1"/>
  <c r="S42" i="2"/>
  <c r="T42" i="2" s="1"/>
  <c r="S38" i="2"/>
  <c r="T38" i="2" s="1"/>
  <c r="S34" i="2"/>
  <c r="T34" i="2" s="1"/>
  <c r="S30" i="2"/>
  <c r="T30" i="2" s="1"/>
  <c r="S26" i="2"/>
  <c r="T26" i="2" s="1"/>
  <c r="S22" i="2"/>
  <c r="T22" i="2" s="1"/>
  <c r="S18" i="2"/>
  <c r="T18" i="2" s="1"/>
  <c r="S14" i="2"/>
  <c r="T14" i="2" s="1"/>
  <c r="S10" i="2"/>
  <c r="T10" i="2" s="1"/>
  <c r="S6" i="2"/>
  <c r="T6" i="2" s="1"/>
</calcChain>
</file>

<file path=xl/sharedStrings.xml><?xml version="1.0" encoding="utf-8"?>
<sst xmlns="http://schemas.openxmlformats.org/spreadsheetml/2006/main" count="494" uniqueCount="275">
  <si>
    <t>Amlodipine 5mg</t>
  </si>
  <si>
    <t>Amlodipine 10mg</t>
  </si>
  <si>
    <t>Lisinopril 5mg</t>
  </si>
  <si>
    <t>Lisinopril 10mg</t>
  </si>
  <si>
    <t>Furosemide 20mg</t>
  </si>
  <si>
    <t>Furosemide 40mg</t>
  </si>
  <si>
    <t>Hydrochlorothiazide 25mg</t>
  </si>
  <si>
    <t>Normoretic</t>
  </si>
  <si>
    <t>Torsemide 10mg</t>
  </si>
  <si>
    <t>Torsemide 20mg</t>
  </si>
  <si>
    <t>Telmisartan 40mg</t>
  </si>
  <si>
    <t>Telmisartan 80mg</t>
  </si>
  <si>
    <t>Nifedipine 20mg</t>
  </si>
  <si>
    <t>Nifedipine XL 30mg</t>
  </si>
  <si>
    <t>Labetalol hydrochloride</t>
  </si>
  <si>
    <t>Methyldopa 250mg</t>
  </si>
  <si>
    <t>Losartan 50mg</t>
  </si>
  <si>
    <t>Indapamide 1.5mg</t>
  </si>
  <si>
    <t>Valsartan 80mg</t>
  </si>
  <si>
    <t>Valsartan 160mg</t>
  </si>
  <si>
    <t>Bisoprolol 2.5mg</t>
  </si>
  <si>
    <t>Candesartan 8mg</t>
  </si>
  <si>
    <t>Candesartan 16mg</t>
  </si>
  <si>
    <t>Twynsta</t>
  </si>
  <si>
    <t>Aprovasc</t>
  </si>
  <si>
    <t>Coveram plus(10mg/2.5mg/10mg)</t>
  </si>
  <si>
    <t>Coveram plus(5mg/2.5mg/5mg)</t>
  </si>
  <si>
    <t>Coveram (10mg/10mg)</t>
  </si>
  <si>
    <t>Captopril</t>
  </si>
  <si>
    <t>Carvedilol 3.125mg</t>
  </si>
  <si>
    <t>Carvedilol 6.25mg</t>
  </si>
  <si>
    <t>Carvedilol 12.5mg</t>
  </si>
  <si>
    <t>Co-diovan</t>
  </si>
  <si>
    <t>Spirinolactone</t>
  </si>
  <si>
    <t>Propanolol 40mg</t>
  </si>
  <si>
    <t>Propanolol 80mg</t>
  </si>
  <si>
    <t>Atenolol 50mg</t>
  </si>
  <si>
    <t>Atenolol 100mg</t>
  </si>
  <si>
    <t>Nebivolol 5mg</t>
  </si>
  <si>
    <t>Nebivolol 10mg</t>
  </si>
  <si>
    <t>Avsar 10/160mg</t>
  </si>
  <si>
    <t>Carvals H 160/25mg</t>
  </si>
  <si>
    <t>Losartan 100mg</t>
  </si>
  <si>
    <t>Avantec 16/12.5</t>
  </si>
  <si>
    <t>Exforge hct</t>
  </si>
  <si>
    <t>Doxazosin 4mg</t>
  </si>
  <si>
    <t>Coversyl 10mg</t>
  </si>
  <si>
    <t>Bisoprolol 5mg</t>
  </si>
  <si>
    <t>Coveram(5mg/1.25mg/5mg)</t>
  </si>
  <si>
    <t>Coveram 5mg/5mg</t>
  </si>
  <si>
    <t>Doxazosin 2mg</t>
  </si>
  <si>
    <t>Methyldopa 500mg</t>
  </si>
  <si>
    <t>Avantec 32/12.5</t>
  </si>
  <si>
    <t>Bendroflumethiazide 2.5mg</t>
  </si>
  <si>
    <t>Hydrochlorothiazide 12.5mg</t>
  </si>
  <si>
    <t>Metoprolol 50mg</t>
  </si>
  <si>
    <t>Co-micardis 12.5/80</t>
  </si>
  <si>
    <t>Total</t>
  </si>
  <si>
    <t>total</t>
  </si>
  <si>
    <t>Losartan 50mg_Early                    204</t>
  </si>
  <si>
    <t>Amlodipine 5mg_Early                    92</t>
  </si>
  <si>
    <t>Indapamide 1.5mg_Early                  82</t>
  </si>
  <si>
    <t>Normoretic_Early                        32</t>
  </si>
  <si>
    <t>Spirinolactone_Early                    22</t>
  </si>
  <si>
    <t>Telmisartan 80mg_Early                  20</t>
  </si>
  <si>
    <t>Nifedipine XL 30mg_Early                15</t>
  </si>
  <si>
    <t>Methyldopa 250mg_Early                  15</t>
  </si>
  <si>
    <t>Losartan 100mg_Early                    13</t>
  </si>
  <si>
    <t>Aprovasc_Early                          11</t>
  </si>
  <si>
    <t>Nifedipine 20mg_Early                   10</t>
  </si>
  <si>
    <t>Labetalol hydrochloride_Early            7</t>
  </si>
  <si>
    <t>Coveram plus(10mg/2.5mg/10mg)_Early      6</t>
  </si>
  <si>
    <t>Valsartan 80mg_Early                     6</t>
  </si>
  <si>
    <t>Hydrochlorothiazide 12.5mg_Early         4</t>
  </si>
  <si>
    <t>Torsemide 20mg_Early                     3</t>
  </si>
  <si>
    <t>Hydrochlorothiazide 25mg_Early           3</t>
  </si>
  <si>
    <t>Doxazosin 4mg_Early                      3</t>
  </si>
  <si>
    <t>Twynsta_Early                            2</t>
  </si>
  <si>
    <t>Furosemide 20mg_Early                    2</t>
  </si>
  <si>
    <t>Coveram 5mg/5mg_Early                    1</t>
  </si>
  <si>
    <t>Avsar 10/160mg_Early                     1</t>
  </si>
  <si>
    <t>Methyldopa 500mg_Early                   1</t>
  </si>
  <si>
    <t>Atenolol 50mg_Early                      1</t>
  </si>
  <si>
    <t>Exforge hct_Early                        0</t>
  </si>
  <si>
    <t>Coversyl 10mg_Early                      0</t>
  </si>
  <si>
    <t>Metoprolol 50mg_Early                    0</t>
  </si>
  <si>
    <t>Propanolol 80mg_Early                    0</t>
  </si>
  <si>
    <t>Carvals H 160/25mg_Early                 0</t>
  </si>
  <si>
    <t>Nebivolol 10mg_Early                     0</t>
  </si>
  <si>
    <t>Nebivolol 5mg_Early                      0</t>
  </si>
  <si>
    <t>Doxazosin 2mg_Early                      0</t>
  </si>
  <si>
    <t>Avantec 16/12.5_Early                    0</t>
  </si>
  <si>
    <t>Carvedilol 12.5mg_Early                  0</t>
  </si>
  <si>
    <t>Carvedilol 6.25mg_Early                  0</t>
  </si>
  <si>
    <t>Carvedilol 3.125mg_Early                 0</t>
  </si>
  <si>
    <t>Captopril_Early                          0</t>
  </si>
  <si>
    <t>Coveram (10mg/10mg)_Early                0</t>
  </si>
  <si>
    <t>Coveram plus(5mg/2.5mg/5mg)_Early        0</t>
  </si>
  <si>
    <t>Coveram(5mg/1.25mg/5mg)_Early            0</t>
  </si>
  <si>
    <t>Avantec 32/12.5_Early                    0</t>
  </si>
  <si>
    <t>Bisoprolol 5mg_Early                     0</t>
  </si>
  <si>
    <t>Telmisartan 40mg_Early                   0</t>
  </si>
  <si>
    <t>Torsemide 10mg_Early                     0</t>
  </si>
  <si>
    <t>Co-micardis 12.5/80_Early                0</t>
  </si>
  <si>
    <t xml:space="preserve">Amlodipine 10mg_Early                  </t>
  </si>
  <si>
    <t xml:space="preserve">Losartan 50mg_Early                    </t>
  </si>
  <si>
    <t xml:space="preserve">Lisinopril 10mg_Early                  </t>
  </si>
  <si>
    <t xml:space="preserve">Bisoprolol 2.5mg_Early                 </t>
  </si>
  <si>
    <t xml:space="preserve">Amlodipine 5mg_Early                   </t>
  </si>
  <si>
    <t xml:space="preserve">Bendroflumethiazide 2.5mg_Early        </t>
  </si>
  <si>
    <t xml:space="preserve">Indapamide 1.5mg_Early                 </t>
  </si>
  <si>
    <t xml:space="preserve">Lisinopril 5mg_Early                   </t>
  </si>
  <si>
    <t xml:space="preserve">Normoretic_Early                       </t>
  </si>
  <si>
    <t xml:space="preserve">Spirinolactone_Early                   </t>
  </si>
  <si>
    <t xml:space="preserve">Telmisartan 80mg_Early                 </t>
  </si>
  <si>
    <t xml:space="preserve">Nifedipine XL 30mg_Early               </t>
  </si>
  <si>
    <t xml:space="preserve">Methyldopa 250mg_Early                 </t>
  </si>
  <si>
    <t xml:space="preserve">Candesartan 16mg_Early                 </t>
  </si>
  <si>
    <t xml:space="preserve">Losartan 100mg_Early                   </t>
  </si>
  <si>
    <t xml:space="preserve">Aprovasc_Early                         </t>
  </si>
  <si>
    <t xml:space="preserve">Nifedipine 20mg_Early                  </t>
  </si>
  <si>
    <t xml:space="preserve">Atenolol 100mg_Early                   </t>
  </si>
  <si>
    <t xml:space="preserve">Labetalol hydrochloride_Early          </t>
  </si>
  <si>
    <t xml:space="preserve">Coveram plus(10mg/2.5mg/10mg)_Early    </t>
  </si>
  <si>
    <t xml:space="preserve">Co-diovan_Early                        </t>
  </si>
  <si>
    <t xml:space="preserve">Candesartan 8mg_Early                  </t>
  </si>
  <si>
    <t xml:space="preserve">Valsartan 80mg_Early                   </t>
  </si>
  <si>
    <t xml:space="preserve">Furosemide 40mg_Early                  </t>
  </si>
  <si>
    <t xml:space="preserve">Valsartan 160mg_Early                  </t>
  </si>
  <si>
    <t xml:space="preserve">Hydrochlorothiazide 12.5mg_Early       </t>
  </si>
  <si>
    <t xml:space="preserve">Torsemide 20mg_Early                   </t>
  </si>
  <si>
    <t xml:space="preserve">Hydrochlorothiazide 25mg_Early         </t>
  </si>
  <si>
    <t xml:space="preserve">Doxazosin 4mg_Early                    </t>
  </si>
  <si>
    <t xml:space="preserve">Propanolol 40mg_Early                  </t>
  </si>
  <si>
    <t xml:space="preserve">Twynsta_Early                          </t>
  </si>
  <si>
    <t xml:space="preserve">Furosemide 20mg_Early                  </t>
  </si>
  <si>
    <t xml:space="preserve">Coveram 5mg/5mg_Early                  </t>
  </si>
  <si>
    <t xml:space="preserve">Avsar 10/160mg_Early                   </t>
  </si>
  <si>
    <t xml:space="preserve">Methyldopa 500mg_Early                 </t>
  </si>
  <si>
    <t xml:space="preserve">Atenolol 50mg_Early                    </t>
  </si>
  <si>
    <t xml:space="preserve">Exforge hct_Early                      </t>
  </si>
  <si>
    <t xml:space="preserve">Coversyl 10mg_Early                    </t>
  </si>
  <si>
    <t xml:space="preserve">Metoprolol 50mg_Early                  </t>
  </si>
  <si>
    <t xml:space="preserve">Propanolol 80mg_Early                  </t>
  </si>
  <si>
    <t xml:space="preserve">Carvals H 160/25mg_Early               </t>
  </si>
  <si>
    <t xml:space="preserve">Nebivolol 10mg_Early                   </t>
  </si>
  <si>
    <t xml:space="preserve">Nebivolol 5mg_Early                    </t>
  </si>
  <si>
    <t xml:space="preserve">Doxazosin 2mg_Early                    </t>
  </si>
  <si>
    <t xml:space="preserve">Avantec 16/12.5_Early                  </t>
  </si>
  <si>
    <t xml:space="preserve">Carvedilol 12.5mg_Early                </t>
  </si>
  <si>
    <t xml:space="preserve">Carvedilol 6.25mg_Early                </t>
  </si>
  <si>
    <t xml:space="preserve">Carvedilol 3.125mg_Early               </t>
  </si>
  <si>
    <t xml:space="preserve">Captopril_Early                        </t>
  </si>
  <si>
    <t xml:space="preserve">Coveram (10mg/10mg)_Early              </t>
  </si>
  <si>
    <t xml:space="preserve">Coveram plus(5mg/2.5mg/5mg)_Early      </t>
  </si>
  <si>
    <t xml:space="preserve">Coveram(5mg/1.25mg/5mg)_Early          </t>
  </si>
  <si>
    <t xml:space="preserve">Avantec 32/12.5_Early                  </t>
  </si>
  <si>
    <t xml:space="preserve">Bisoprolol 5mg_Early                   </t>
  </si>
  <si>
    <t xml:space="preserve">Telmisartan 40mg_Early                 </t>
  </si>
  <si>
    <t xml:space="preserve">Torsemide 10mg_Early                   </t>
  </si>
  <si>
    <t xml:space="preserve">Co-micardis 12.5/80_Early              </t>
  </si>
  <si>
    <t>Normoretic_Days_Remaining                        356.0</t>
  </si>
  <si>
    <t>Spirinolactone_Days_Remaining                    184.0</t>
  </si>
  <si>
    <t>Telmisartan 80mg_Days_Remaining                  160.0</t>
  </si>
  <si>
    <t>Nifedipine XL 30mg_Days_Remaining                148.0</t>
  </si>
  <si>
    <t>Nifedipine 20mg_Days_Remaining                   124.0</t>
  </si>
  <si>
    <t>Labetalol hydrochloride_Days_Remaining           122.0</t>
  </si>
  <si>
    <t>Coveram plus(10mg/2.5mg/10mg)_Days_Remaining      85.0</t>
  </si>
  <si>
    <t>Hydrochlorothiazide 12.5mg_Days_Remaining         75.0</t>
  </si>
  <si>
    <t>Twynsta_Days_Remaining                            48.0</t>
  </si>
  <si>
    <t>Torsemide 20mg_Days_Remaining                     19.0</t>
  </si>
  <si>
    <t>Doxazosin 4mg_Days_Remaining                      17.0</t>
  </si>
  <si>
    <t>Coveram 5mg/5mg_Days_Remaining                     4.0</t>
  </si>
  <si>
    <t>Methyldopa 500mg_Days_Remaining                    3.0</t>
  </si>
  <si>
    <t>Exforge hct_Days_Remaining                         0.0</t>
  </si>
  <si>
    <t>Metoprolol 50mg_Days_Remaining                     0.0</t>
  </si>
  <si>
    <t>Propanolol 80mg_Days_Remaining                     0.0</t>
  </si>
  <si>
    <t>Carvals H 160/25mg_Days_Remaining                  0.0</t>
  </si>
  <si>
    <t>Nebivolol 10mg_Days_Remaining                      0.0</t>
  </si>
  <si>
    <t>Nebivolol 5mg_Days_Remaining                       0.0</t>
  </si>
  <si>
    <t>Doxazosin 2mg_Days_Remaining                       0.0</t>
  </si>
  <si>
    <t>Coversyl 10mg_Days_Remaining                       0.0</t>
  </si>
  <si>
    <t>Avantec 16/12.5_Days_Remaining                     0.0</t>
  </si>
  <si>
    <t>Carvedilol 12.5mg_Days_Remaining                   0.0</t>
  </si>
  <si>
    <t>Carvedilol 6.25mg_Days_Remaining                   0.0</t>
  </si>
  <si>
    <t>Carvedilol 3.125mg_Days_Remaining                  0.0</t>
  </si>
  <si>
    <t>Captopril_Days_Remaining                           0.0</t>
  </si>
  <si>
    <t>Coveram (10mg/10mg)_Days_Remaining                 0.0</t>
  </si>
  <si>
    <t>Coveram plus(5mg/2.5mg/5mg)_Days_Remaining         0.0</t>
  </si>
  <si>
    <t>Coveram(5mg/1.25mg/5mg)_Days_Remaining             0.0</t>
  </si>
  <si>
    <t>Avantec 32/12.5_Days_Remaining                     0.0</t>
  </si>
  <si>
    <t>Telmisartan 40mg_Days_Remaining                    0.0</t>
  </si>
  <si>
    <t>Torsemide 10mg_Days_Remaining                      0.0</t>
  </si>
  <si>
    <t>Co-micardis 12.5/80_Days_Remaining                 0.0</t>
  </si>
  <si>
    <t>Amlodipine 10mg_Early                  383</t>
  </si>
  <si>
    <t>Lisinopril 10mg_Early                   83</t>
  </si>
  <si>
    <t>Bisoprolol 2.5mg_Early                  82</t>
  </si>
  <si>
    <t>Bendroflumethiazide 2.5mg_Early         68</t>
  </si>
  <si>
    <t>Lisinopril 5mg_Early                    30</t>
  </si>
  <si>
    <t>Candesartan 16mg_Early                  11</t>
  </si>
  <si>
    <t>Atenolol 100mg_Early                     6</t>
  </si>
  <si>
    <t>Candesartan 8mg_Early                    5</t>
  </si>
  <si>
    <t>Co-diovan_Early                          5</t>
  </si>
  <si>
    <t>Furosemide 40mg_Early                    4</t>
  </si>
  <si>
    <t>Valsartan 160mg_Early                    3</t>
  </si>
  <si>
    <t>Propanolol 40mg_Early                    1</t>
  </si>
  <si>
    <t>dtype: int64</t>
  </si>
  <si>
    <t>Indapamide 1.5mg_Days_Remaining                  910.0</t>
  </si>
  <si>
    <t>Bendroflumethiazide 2.5mg_Days_Remaining         810.0</t>
  </si>
  <si>
    <t>Candesartan 16mg_Days_Remaining                  109.0</t>
  </si>
  <si>
    <t>Co-diovan_Days_Remaining                          70.0</t>
  </si>
  <si>
    <t>Atenolol 100mg_Days_Remaining                     65.0</t>
  </si>
  <si>
    <t>Valsartan 80mg_Days_Remaining                     63.0</t>
  </si>
  <si>
    <t>Furosemide 40mg_Days_Remaining                    46.0</t>
  </si>
  <si>
    <t>Candesartan 8mg_Days_Remaining                    40.0</t>
  </si>
  <si>
    <t>Hydrochlorothiazide 25mg_Days_Remaining           40.0</t>
  </si>
  <si>
    <t>Propanolol 40mg_Days_Remaining                    32.0</t>
  </si>
  <si>
    <t>Valsartan 160mg_Days_Remaining                    25.0</t>
  </si>
  <si>
    <t>Atenolol 50mg_Days_Remaining                      11.0</t>
  </si>
  <si>
    <t>Furosemide 20mg_Days_Remaining                     9.0</t>
  </si>
  <si>
    <t>Avsar 10/160mg_Days_Remaining                      1.0</t>
  </si>
  <si>
    <t>dtype: float64</t>
  </si>
  <si>
    <t xml:space="preserve">    'Lisinopril 10mg', </t>
  </si>
  <si>
    <t xml:space="preserve">    'Bisoprolol 2.5mg',</t>
  </si>
  <si>
    <t xml:space="preserve">    'Bisoprolol 5mg', </t>
  </si>
  <si>
    <t xml:space="preserve">    'Candesartan 8mg',</t>
  </si>
  <si>
    <t xml:space="preserve">    'Candesartan 16mg',</t>
  </si>
  <si>
    <t xml:space="preserve">    'Atenolol 50mg',</t>
  </si>
  <si>
    <t xml:space="preserve">    'Atenolol 100mg',</t>
  </si>
  <si>
    <t xml:space="preserve">    'Propanolol 40mg',</t>
  </si>
  <si>
    <t xml:space="preserve">    'Propanolol 80mg',</t>
  </si>
  <si>
    <t xml:space="preserve">    'Co-diovan',</t>
  </si>
  <si>
    <t xml:space="preserve">    'Avsar 10/160mg',</t>
  </si>
  <si>
    <t xml:space="preserve">    'Exforge hct',</t>
  </si>
  <si>
    <t xml:space="preserve">    'Co-micardis 12.5/80',</t>
  </si>
  <si>
    <t xml:space="preserve">    'Doxazosin 2mg',</t>
  </si>
  <si>
    <t xml:space="preserve">    'Avantec 16/12.5',</t>
  </si>
  <si>
    <t xml:space="preserve">    'Avantec 32/12.5',</t>
  </si>
  <si>
    <t xml:space="preserve">    'Valsartan 80mg',</t>
  </si>
  <si>
    <t xml:space="preserve">    'Valsartan 160mg',</t>
  </si>
  <si>
    <t xml:space="preserve">    'Bendroflumethiazide 2.5mg',</t>
  </si>
  <si>
    <t xml:space="preserve">    'Furosemide 20mg',</t>
  </si>
  <si>
    <t>Methyldopa 250mg_Early                   2</t>
  </si>
  <si>
    <t>Qty in pack</t>
  </si>
  <si>
    <t>left over tabs</t>
  </si>
  <si>
    <t xml:space="preserve">packs </t>
  </si>
  <si>
    <t>Consumption</t>
  </si>
  <si>
    <t>AvgDailyPct</t>
  </si>
  <si>
    <t>Probability</t>
  </si>
  <si>
    <t>Amlodipine 10mg_Early                  456</t>
  </si>
  <si>
    <t>Losartan 50mg_Early                    119</t>
  </si>
  <si>
    <t>Lisinopril 10mg_Early                  102</t>
  </si>
  <si>
    <t>Bisoprolol 2.5mg_Early                  67</t>
  </si>
  <si>
    <t>Amlodipine 5mg_Early                    51</t>
  </si>
  <si>
    <t>Losartan 100mg_Early                    39</t>
  </si>
  <si>
    <t>Lisinopril 5mg_Early                    22</t>
  </si>
  <si>
    <t>Aprovasc_Early                           7</t>
  </si>
  <si>
    <t>Bisoprolol 5mg_Early                     3</t>
  </si>
  <si>
    <t>Amlodipine 10mg_Days_Remaining                  4708.0</t>
  </si>
  <si>
    <t>Losartan 50mg_Days_Remaining                    1244.0</t>
  </si>
  <si>
    <t>Lisinopril 10mg_Days_Remaining                  1168.0</t>
  </si>
  <si>
    <t>Bisoprolol 2.5mg_Days_Remaining                  904.0</t>
  </si>
  <si>
    <t>Amlodipine 5mg_Days_Remaining                    603.0</t>
  </si>
  <si>
    <t>Losartan 100mg_Days_Remaining                    335.0</t>
  </si>
  <si>
    <t>Lisinopril 5mg_Days_Remaining                    204.0</t>
  </si>
  <si>
    <t>Aprovasc_Days_Remaining                          135.0</t>
  </si>
  <si>
    <t>Bisoprolol 5mg_Days_Remaining                     40.0</t>
  </si>
  <si>
    <t>Methyldopa 250mg_Days_Remaining                   10.0</t>
  </si>
  <si>
    <t>drugs_28_pack = [</t>
  </si>
  <si>
    <t xml:space="preserve">    'Lisinopril 5mg', </t>
  </si>
  <si>
    <t xml:space="preserve">    'Furosemide 40mg',</t>
  </si>
  <si>
    <t xml:space="preserve">    'Aprovasc'</t>
  </si>
  <si>
    <t>]</t>
  </si>
  <si>
    <t>monthly consumption</t>
  </si>
  <si>
    <t>Total leftover tablets (from early refills):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</si>
</sst>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sz val="10"/>
      <color rgb="FF000000"/>
      <name val="Consolas"/>
      <family val="3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7" fillId="0" borderId="0" xfId="0" applyFont="1"/>
    <xf numFmtId="0" fontId="9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horizontal="right" vertical="center"/>
    </xf>
    <xf numFmtId="0" fontId="0" fillId="0" borderId="0" xfId="0" applyAlignment="1"/>
    <xf numFmtId="2" fontId="0" fillId="0" borderId="0" xfId="0" applyNumberFormat="1"/>
    <xf numFmtId="0" fontId="0" fillId="0" borderId="0" xfId="0" applyNumberFormat="1"/>
    <xf numFmtId="0" fontId="10" fillId="0" borderId="0" xfId="0" applyFont="1" applyAlignment="1">
      <alignment horizontal="left" vertical="center"/>
    </xf>
    <xf numFmtId="0" fontId="8" fillId="2" borderId="0" xfId="0" applyFont="1" applyFill="1" applyAlignment="1">
      <alignment horizontal="right" vertical="center"/>
    </xf>
    <xf numFmtId="2" fontId="7" fillId="0" borderId="0" xfId="0" applyNumberFormat="1" applyFont="1"/>
    <xf numFmtId="1" fontId="0" fillId="0" borderId="0" xfId="0" applyNumberFormat="1"/>
    <xf numFmtId="0" fontId="11" fillId="0" borderId="1" xfId="0" applyFont="1" applyBorder="1" applyAlignment="1">
      <alignment horizontal="right" vertical="center"/>
    </xf>
    <xf numFmtId="3" fontId="11" fillId="0" borderId="2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60"/>
  <sheetViews>
    <sheetView topLeftCell="K70" workbookViewId="0">
      <selection activeCell="R6" sqref="R6"/>
    </sheetView>
  </sheetViews>
  <sheetFormatPr defaultRowHeight="12.75" x14ac:dyDescent="0.2"/>
  <cols>
    <col min="1" max="1" width="32" style="5" bestFit="1" customWidth="1"/>
    <col min="4" max="4" width="9.140625" style="5"/>
    <col min="13" max="13" width="32" style="5" bestFit="1" customWidth="1"/>
    <col min="20" max="20" width="20.5703125" bestFit="1" customWidth="1"/>
  </cols>
  <sheetData>
    <row r="2" spans="1:26" x14ac:dyDescent="0.2">
      <c r="P2" s="1" t="s">
        <v>246</v>
      </c>
    </row>
    <row r="3" spans="1:26" ht="15" thickBot="1" x14ac:dyDescent="0.25">
      <c r="A3" s="4"/>
      <c r="B3" s="2">
        <v>0.5</v>
      </c>
      <c r="C3" s="2">
        <v>1</v>
      </c>
      <c r="D3" s="2">
        <v>2</v>
      </c>
      <c r="E3" s="2">
        <v>3</v>
      </c>
      <c r="F3" s="2">
        <v>4</v>
      </c>
      <c r="G3" s="2" t="s">
        <v>57</v>
      </c>
      <c r="N3">
        <v>0.5</v>
      </c>
      <c r="O3">
        <v>1</v>
      </c>
      <c r="P3">
        <v>2</v>
      </c>
      <c r="Q3">
        <v>3</v>
      </c>
      <c r="R3">
        <v>4</v>
      </c>
      <c r="S3" s="1" t="s">
        <v>58</v>
      </c>
      <c r="Y3" s="1" t="s">
        <v>273</v>
      </c>
    </row>
    <row r="4" spans="1:26" ht="15" thickBot="1" x14ac:dyDescent="0.25">
      <c r="A4" s="4" t="s">
        <v>1</v>
      </c>
      <c r="B4" s="3">
        <v>130</v>
      </c>
      <c r="C4" s="3">
        <v>2233</v>
      </c>
      <c r="D4" s="3">
        <v>6</v>
      </c>
      <c r="E4" s="3">
        <v>0</v>
      </c>
      <c r="F4" s="3">
        <v>0</v>
      </c>
      <c r="G4" s="3">
        <v>2369</v>
      </c>
      <c r="M4" s="4" t="s">
        <v>1</v>
      </c>
      <c r="N4">
        <f>B4*$I$6</f>
        <v>65</v>
      </c>
      <c r="O4">
        <f>C4*$I$7</f>
        <v>2233</v>
      </c>
      <c r="P4">
        <f>D4*$I$8</f>
        <v>12</v>
      </c>
      <c r="Q4">
        <f>E4*$I$9</f>
        <v>0</v>
      </c>
      <c r="R4">
        <f>F4*$I$10</f>
        <v>0</v>
      </c>
      <c r="S4">
        <f>SUM(N4:R4)</f>
        <v>2310</v>
      </c>
      <c r="T4">
        <f>ROUND(S4,0)</f>
        <v>2310</v>
      </c>
      <c r="Y4" s="12">
        <v>2159</v>
      </c>
      <c r="Z4">
        <f>ROUND(Y4/8,0)</f>
        <v>270</v>
      </c>
    </row>
    <row r="5" spans="1:26" ht="15" thickBot="1" x14ac:dyDescent="0.25">
      <c r="A5" s="4" t="s">
        <v>3</v>
      </c>
      <c r="B5" s="3">
        <v>44</v>
      </c>
      <c r="C5" s="3">
        <v>737</v>
      </c>
      <c r="D5" s="3">
        <v>9</v>
      </c>
      <c r="E5" s="3">
        <v>0</v>
      </c>
      <c r="F5" s="3">
        <v>0</v>
      </c>
      <c r="G5" s="3">
        <v>790</v>
      </c>
      <c r="M5" s="4" t="s">
        <v>3</v>
      </c>
      <c r="N5">
        <f t="shared" ref="N5:N60" si="0">B5*$I$6</f>
        <v>22</v>
      </c>
      <c r="O5">
        <f t="shared" ref="O5:O60" si="1">C5*$I$7</f>
        <v>737</v>
      </c>
      <c r="P5">
        <f t="shared" ref="P5:P60" si="2">D5*$I$8</f>
        <v>18</v>
      </c>
      <c r="Q5">
        <f t="shared" ref="Q5:Q60" si="3">E5*$I$9</f>
        <v>0</v>
      </c>
      <c r="R5">
        <f t="shared" ref="R5:R60" si="4">F5*$I$10</f>
        <v>0</v>
      </c>
      <c r="S5">
        <f t="shared" ref="S5:S60" si="5">SUM(N5:R5)</f>
        <v>777</v>
      </c>
      <c r="T5">
        <f t="shared" ref="T5:T60" si="6">ROUND(S5,0)</f>
        <v>777</v>
      </c>
      <c r="Y5" s="13">
        <v>1519</v>
      </c>
      <c r="Z5">
        <f t="shared" ref="Z5:Z56" si="7">ROUND(Y5/8,0)</f>
        <v>190</v>
      </c>
    </row>
    <row r="6" spans="1:26" ht="15" thickBot="1" x14ac:dyDescent="0.25">
      <c r="A6" s="4" t="s">
        <v>16</v>
      </c>
      <c r="B6" s="3">
        <v>61</v>
      </c>
      <c r="C6" s="3">
        <v>575</v>
      </c>
      <c r="D6" s="3">
        <v>5</v>
      </c>
      <c r="E6" s="3">
        <v>0</v>
      </c>
      <c r="F6" s="3">
        <v>1</v>
      </c>
      <c r="G6" s="3">
        <v>642</v>
      </c>
      <c r="I6" s="1">
        <v>0.5</v>
      </c>
      <c r="M6" s="4" t="s">
        <v>16</v>
      </c>
      <c r="N6">
        <f t="shared" si="0"/>
        <v>30.5</v>
      </c>
      <c r="O6">
        <f t="shared" si="1"/>
        <v>575</v>
      </c>
      <c r="P6">
        <f t="shared" si="2"/>
        <v>10</v>
      </c>
      <c r="Q6">
        <f t="shared" si="3"/>
        <v>0</v>
      </c>
      <c r="R6">
        <f t="shared" si="4"/>
        <v>4</v>
      </c>
      <c r="S6">
        <f t="shared" si="5"/>
        <v>619.5</v>
      </c>
      <c r="T6">
        <f t="shared" si="6"/>
        <v>620</v>
      </c>
      <c r="Y6" s="14">
        <v>1184</v>
      </c>
      <c r="Z6">
        <f t="shared" si="7"/>
        <v>148</v>
      </c>
    </row>
    <row r="7" spans="1:26" ht="15" thickBot="1" x14ac:dyDescent="0.25">
      <c r="A7" s="4" t="s">
        <v>17</v>
      </c>
      <c r="B7" s="3">
        <v>44</v>
      </c>
      <c r="C7" s="3">
        <v>476</v>
      </c>
      <c r="D7" s="3">
        <v>0</v>
      </c>
      <c r="E7" s="3">
        <v>0</v>
      </c>
      <c r="F7" s="3">
        <v>0</v>
      </c>
      <c r="G7" s="3">
        <v>520</v>
      </c>
      <c r="I7" s="3">
        <v>1</v>
      </c>
      <c r="M7" s="4" t="s">
        <v>17</v>
      </c>
      <c r="N7">
        <f t="shared" si="0"/>
        <v>22</v>
      </c>
      <c r="O7">
        <f t="shared" si="1"/>
        <v>476</v>
      </c>
      <c r="P7">
        <f t="shared" si="2"/>
        <v>0</v>
      </c>
      <c r="Q7">
        <f t="shared" si="3"/>
        <v>0</v>
      </c>
      <c r="R7">
        <f t="shared" si="4"/>
        <v>0</v>
      </c>
      <c r="S7">
        <f t="shared" si="5"/>
        <v>498</v>
      </c>
      <c r="T7">
        <f t="shared" si="6"/>
        <v>498</v>
      </c>
      <c r="Y7" s="14">
        <v>712</v>
      </c>
      <c r="Z7">
        <f t="shared" si="7"/>
        <v>89</v>
      </c>
    </row>
    <row r="8" spans="1:26" ht="15" thickBot="1" x14ac:dyDescent="0.25">
      <c r="A8" s="4" t="s">
        <v>0</v>
      </c>
      <c r="B8" s="3">
        <v>16</v>
      </c>
      <c r="C8" s="3">
        <v>465</v>
      </c>
      <c r="D8" s="3">
        <v>5</v>
      </c>
      <c r="E8" s="3">
        <v>0</v>
      </c>
      <c r="F8" s="3">
        <v>0</v>
      </c>
      <c r="G8" s="3">
        <v>486</v>
      </c>
      <c r="I8" s="3">
        <v>2</v>
      </c>
      <c r="M8" s="4" t="s">
        <v>0</v>
      </c>
      <c r="N8">
        <f t="shared" si="0"/>
        <v>8</v>
      </c>
      <c r="O8">
        <f t="shared" si="1"/>
        <v>465</v>
      </c>
      <c r="P8">
        <f t="shared" si="2"/>
        <v>10</v>
      </c>
      <c r="Q8">
        <f t="shared" si="3"/>
        <v>0</v>
      </c>
      <c r="R8">
        <f t="shared" si="4"/>
        <v>0</v>
      </c>
      <c r="S8">
        <f t="shared" si="5"/>
        <v>483</v>
      </c>
      <c r="T8">
        <f t="shared" si="6"/>
        <v>483</v>
      </c>
      <c r="Y8" s="14">
        <v>498</v>
      </c>
      <c r="Z8">
        <f t="shared" si="7"/>
        <v>62</v>
      </c>
    </row>
    <row r="9" spans="1:26" ht="15" thickBot="1" x14ac:dyDescent="0.25">
      <c r="A9" s="4" t="s">
        <v>53</v>
      </c>
      <c r="B9" s="3">
        <v>2</v>
      </c>
      <c r="C9" s="3">
        <v>462</v>
      </c>
      <c r="D9" s="3">
        <v>6</v>
      </c>
      <c r="E9" s="3">
        <v>2</v>
      </c>
      <c r="F9" s="3">
        <v>1</v>
      </c>
      <c r="G9" s="3">
        <v>474</v>
      </c>
      <c r="I9" s="3">
        <v>3</v>
      </c>
      <c r="M9" s="4" t="s">
        <v>53</v>
      </c>
      <c r="N9">
        <f t="shared" si="0"/>
        <v>1</v>
      </c>
      <c r="O9">
        <f t="shared" si="1"/>
        <v>462</v>
      </c>
      <c r="P9">
        <f t="shared" si="2"/>
        <v>12</v>
      </c>
      <c r="Q9">
        <f t="shared" si="3"/>
        <v>6</v>
      </c>
      <c r="R9">
        <f t="shared" si="4"/>
        <v>4</v>
      </c>
      <c r="S9">
        <f t="shared" si="5"/>
        <v>485</v>
      </c>
      <c r="T9">
        <f t="shared" si="6"/>
        <v>485</v>
      </c>
      <c r="Y9" s="14">
        <v>485</v>
      </c>
      <c r="Z9">
        <f t="shared" si="7"/>
        <v>61</v>
      </c>
    </row>
    <row r="10" spans="1:26" ht="15" thickBot="1" x14ac:dyDescent="0.25">
      <c r="A10" s="4" t="s">
        <v>20</v>
      </c>
      <c r="B10" s="3">
        <v>28</v>
      </c>
      <c r="C10" s="3">
        <v>335</v>
      </c>
      <c r="D10" s="3">
        <v>3</v>
      </c>
      <c r="E10" s="3">
        <v>2</v>
      </c>
      <c r="F10" s="3">
        <v>4</v>
      </c>
      <c r="G10" s="3">
        <v>372</v>
      </c>
      <c r="I10" s="3">
        <v>4</v>
      </c>
      <c r="M10" s="4" t="s">
        <v>20</v>
      </c>
      <c r="N10">
        <f t="shared" si="0"/>
        <v>14</v>
      </c>
      <c r="O10">
        <f t="shared" si="1"/>
        <v>335</v>
      </c>
      <c r="P10">
        <f t="shared" si="2"/>
        <v>6</v>
      </c>
      <c r="Q10">
        <f t="shared" si="3"/>
        <v>6</v>
      </c>
      <c r="R10">
        <f t="shared" si="4"/>
        <v>16</v>
      </c>
      <c r="S10">
        <f t="shared" si="5"/>
        <v>377</v>
      </c>
      <c r="T10">
        <f t="shared" si="6"/>
        <v>377</v>
      </c>
      <c r="Y10" s="14">
        <v>479</v>
      </c>
      <c r="Z10">
        <f t="shared" si="7"/>
        <v>60</v>
      </c>
    </row>
    <row r="11" spans="1:26" ht="15" thickBot="1" x14ac:dyDescent="0.25">
      <c r="A11" s="4" t="s">
        <v>42</v>
      </c>
      <c r="B11" s="3">
        <v>0</v>
      </c>
      <c r="C11" s="3">
        <v>282</v>
      </c>
      <c r="D11" s="3">
        <v>0</v>
      </c>
      <c r="E11" s="3">
        <v>0</v>
      </c>
      <c r="F11" s="3">
        <v>0</v>
      </c>
      <c r="G11" s="3">
        <v>282</v>
      </c>
      <c r="M11" s="4" t="s">
        <v>42</v>
      </c>
      <c r="N11">
        <f t="shared" si="0"/>
        <v>0</v>
      </c>
      <c r="O11">
        <f t="shared" si="1"/>
        <v>282</v>
      </c>
      <c r="P11">
        <f t="shared" si="2"/>
        <v>0</v>
      </c>
      <c r="Q11">
        <f t="shared" si="3"/>
        <v>0</v>
      </c>
      <c r="R11">
        <f t="shared" si="4"/>
        <v>0</v>
      </c>
      <c r="S11">
        <f t="shared" si="5"/>
        <v>282</v>
      </c>
      <c r="T11">
        <f t="shared" si="6"/>
        <v>282</v>
      </c>
      <c r="Y11" s="14">
        <v>130</v>
      </c>
      <c r="Z11">
        <f t="shared" si="7"/>
        <v>16</v>
      </c>
    </row>
    <row r="12" spans="1:26" ht="15" thickBot="1" x14ac:dyDescent="0.25">
      <c r="A12" s="4" t="s">
        <v>2</v>
      </c>
      <c r="B12" s="3">
        <v>11</v>
      </c>
      <c r="C12" s="3">
        <v>219</v>
      </c>
      <c r="D12" s="3">
        <v>6</v>
      </c>
      <c r="E12" s="3">
        <v>0</v>
      </c>
      <c r="F12" s="3">
        <v>0</v>
      </c>
      <c r="G12" s="3">
        <v>236</v>
      </c>
      <c r="M12" s="4" t="s">
        <v>2</v>
      </c>
      <c r="N12">
        <f t="shared" si="0"/>
        <v>5.5</v>
      </c>
      <c r="O12">
        <f t="shared" si="1"/>
        <v>219</v>
      </c>
      <c r="P12">
        <f t="shared" si="2"/>
        <v>12</v>
      </c>
      <c r="Q12">
        <f t="shared" si="3"/>
        <v>0</v>
      </c>
      <c r="R12">
        <f t="shared" si="4"/>
        <v>0</v>
      </c>
      <c r="S12">
        <f t="shared" si="5"/>
        <v>236.5</v>
      </c>
      <c r="T12">
        <f t="shared" si="6"/>
        <v>237</v>
      </c>
      <c r="Y12" s="14">
        <v>78</v>
      </c>
      <c r="Z12">
        <f t="shared" si="7"/>
        <v>10</v>
      </c>
    </row>
    <row r="13" spans="1:26" ht="15" thickBot="1" x14ac:dyDescent="0.25">
      <c r="A13" s="4" t="s">
        <v>7</v>
      </c>
      <c r="B13" s="3">
        <v>26</v>
      </c>
      <c r="C13" s="3">
        <v>207</v>
      </c>
      <c r="D13" s="3">
        <v>0</v>
      </c>
      <c r="E13" s="3">
        <v>0</v>
      </c>
      <c r="F13" s="3">
        <v>0</v>
      </c>
      <c r="G13" s="3">
        <v>233</v>
      </c>
      <c r="M13" s="4" t="s">
        <v>7</v>
      </c>
      <c r="N13">
        <f t="shared" si="0"/>
        <v>13</v>
      </c>
      <c r="O13">
        <f t="shared" si="1"/>
        <v>207</v>
      </c>
      <c r="P13">
        <f t="shared" si="2"/>
        <v>0</v>
      </c>
      <c r="Q13">
        <f t="shared" si="3"/>
        <v>0</v>
      </c>
      <c r="R13">
        <f t="shared" si="4"/>
        <v>0</v>
      </c>
      <c r="S13">
        <f t="shared" si="5"/>
        <v>220</v>
      </c>
      <c r="T13">
        <f t="shared" si="6"/>
        <v>220</v>
      </c>
      <c r="U13">
        <f>T13*30/100</f>
        <v>66</v>
      </c>
      <c r="Y13" s="14">
        <v>69</v>
      </c>
      <c r="Z13">
        <f t="shared" si="7"/>
        <v>9</v>
      </c>
    </row>
    <row r="14" spans="1:26" ht="15" thickBot="1" x14ac:dyDescent="0.25">
      <c r="A14" s="4" t="s">
        <v>11</v>
      </c>
      <c r="B14" s="3">
        <v>5</v>
      </c>
      <c r="C14" s="3">
        <v>121</v>
      </c>
      <c r="D14" s="3">
        <v>3</v>
      </c>
      <c r="E14" s="3">
        <v>0</v>
      </c>
      <c r="F14" s="3">
        <v>0</v>
      </c>
      <c r="G14" s="3">
        <v>129</v>
      </c>
      <c r="M14" s="4" t="s">
        <v>11</v>
      </c>
      <c r="N14">
        <f t="shared" si="0"/>
        <v>2.5</v>
      </c>
      <c r="O14">
        <f t="shared" si="1"/>
        <v>121</v>
      </c>
      <c r="P14">
        <f t="shared" si="2"/>
        <v>6</v>
      </c>
      <c r="Q14">
        <f t="shared" si="3"/>
        <v>0</v>
      </c>
      <c r="R14">
        <f t="shared" si="4"/>
        <v>0</v>
      </c>
      <c r="S14">
        <f t="shared" si="5"/>
        <v>129.5</v>
      </c>
      <c r="T14">
        <f t="shared" si="6"/>
        <v>130</v>
      </c>
      <c r="Y14" s="14">
        <v>69</v>
      </c>
      <c r="Z14">
        <f t="shared" si="7"/>
        <v>9</v>
      </c>
    </row>
    <row r="15" spans="1:26" ht="15" thickBot="1" x14ac:dyDescent="0.25">
      <c r="A15" s="4" t="s">
        <v>33</v>
      </c>
      <c r="B15" s="3">
        <v>11</v>
      </c>
      <c r="C15" s="3">
        <v>100</v>
      </c>
      <c r="D15" s="3">
        <v>4</v>
      </c>
      <c r="E15" s="3">
        <v>1</v>
      </c>
      <c r="F15" s="3">
        <v>0</v>
      </c>
      <c r="G15" s="3">
        <v>116</v>
      </c>
      <c r="M15" s="4" t="s">
        <v>33</v>
      </c>
      <c r="N15">
        <f t="shared" si="0"/>
        <v>5.5</v>
      </c>
      <c r="O15">
        <f t="shared" si="1"/>
        <v>100</v>
      </c>
      <c r="P15">
        <f t="shared" si="2"/>
        <v>8</v>
      </c>
      <c r="Q15">
        <f t="shared" si="3"/>
        <v>3</v>
      </c>
      <c r="R15">
        <f t="shared" si="4"/>
        <v>0</v>
      </c>
      <c r="S15">
        <f t="shared" si="5"/>
        <v>116.5</v>
      </c>
      <c r="T15">
        <f t="shared" si="6"/>
        <v>117</v>
      </c>
      <c r="Y15" s="14">
        <v>67</v>
      </c>
      <c r="Z15">
        <f t="shared" si="7"/>
        <v>8</v>
      </c>
    </row>
    <row r="16" spans="1:26" ht="15" thickBot="1" x14ac:dyDescent="0.25">
      <c r="A16" s="4" t="s">
        <v>6</v>
      </c>
      <c r="B16" s="3">
        <v>40</v>
      </c>
      <c r="C16" s="3">
        <v>31</v>
      </c>
      <c r="D16" s="3">
        <v>0</v>
      </c>
      <c r="E16" s="3">
        <v>0</v>
      </c>
      <c r="F16" s="3">
        <v>0</v>
      </c>
      <c r="G16" s="3">
        <v>71</v>
      </c>
      <c r="M16" s="4" t="s">
        <v>6</v>
      </c>
      <c r="N16">
        <f t="shared" si="0"/>
        <v>20</v>
      </c>
      <c r="O16">
        <f t="shared" si="1"/>
        <v>31</v>
      </c>
      <c r="P16">
        <f t="shared" si="2"/>
        <v>0</v>
      </c>
      <c r="Q16">
        <f t="shared" si="3"/>
        <v>0</v>
      </c>
      <c r="R16">
        <f t="shared" si="4"/>
        <v>0</v>
      </c>
      <c r="S16">
        <f t="shared" si="5"/>
        <v>51</v>
      </c>
      <c r="T16">
        <f t="shared" si="6"/>
        <v>51</v>
      </c>
      <c r="Y16" s="14">
        <v>58</v>
      </c>
      <c r="Z16">
        <f t="shared" si="7"/>
        <v>7</v>
      </c>
    </row>
    <row r="17" spans="1:26" ht="15" thickBot="1" x14ac:dyDescent="0.25">
      <c r="A17" s="4" t="s">
        <v>19</v>
      </c>
      <c r="B17" s="3">
        <v>0</v>
      </c>
      <c r="C17" s="3">
        <v>67</v>
      </c>
      <c r="D17" s="3">
        <v>1</v>
      </c>
      <c r="E17" s="3">
        <v>0</v>
      </c>
      <c r="F17" s="3">
        <v>0</v>
      </c>
      <c r="G17" s="3">
        <v>68</v>
      </c>
      <c r="M17" s="4" t="s">
        <v>19</v>
      </c>
      <c r="N17">
        <f t="shared" si="0"/>
        <v>0</v>
      </c>
      <c r="O17">
        <f t="shared" si="1"/>
        <v>67</v>
      </c>
      <c r="P17">
        <f t="shared" si="2"/>
        <v>2</v>
      </c>
      <c r="Q17">
        <f t="shared" si="3"/>
        <v>0</v>
      </c>
      <c r="R17">
        <f t="shared" si="4"/>
        <v>0</v>
      </c>
      <c r="S17">
        <f t="shared" si="5"/>
        <v>69</v>
      </c>
      <c r="T17">
        <f t="shared" si="6"/>
        <v>69</v>
      </c>
      <c r="Y17" s="14">
        <v>56</v>
      </c>
      <c r="Z17">
        <f t="shared" si="7"/>
        <v>7</v>
      </c>
    </row>
    <row r="18" spans="1:26" ht="15" thickBot="1" x14ac:dyDescent="0.25">
      <c r="A18" s="4" t="s">
        <v>13</v>
      </c>
      <c r="B18" s="3">
        <v>0</v>
      </c>
      <c r="C18" s="3">
        <v>58</v>
      </c>
      <c r="D18" s="3">
        <v>4</v>
      </c>
      <c r="E18" s="3">
        <v>1</v>
      </c>
      <c r="F18" s="3">
        <v>0</v>
      </c>
      <c r="G18" s="3">
        <v>63</v>
      </c>
      <c r="M18" s="4" t="s">
        <v>13</v>
      </c>
      <c r="N18">
        <f t="shared" si="0"/>
        <v>0</v>
      </c>
      <c r="O18">
        <f t="shared" si="1"/>
        <v>58</v>
      </c>
      <c r="P18">
        <f t="shared" si="2"/>
        <v>8</v>
      </c>
      <c r="Q18">
        <f t="shared" si="3"/>
        <v>3</v>
      </c>
      <c r="R18">
        <f t="shared" si="4"/>
        <v>0</v>
      </c>
      <c r="S18">
        <f t="shared" si="5"/>
        <v>69</v>
      </c>
      <c r="T18">
        <f t="shared" si="6"/>
        <v>69</v>
      </c>
      <c r="Y18" s="14">
        <v>56</v>
      </c>
      <c r="Z18">
        <f t="shared" si="7"/>
        <v>7</v>
      </c>
    </row>
    <row r="19" spans="1:26" ht="15" thickBot="1" x14ac:dyDescent="0.25">
      <c r="A19" s="4" t="s">
        <v>12</v>
      </c>
      <c r="B19" s="3">
        <v>1</v>
      </c>
      <c r="C19" s="3">
        <v>52</v>
      </c>
      <c r="D19" s="3">
        <v>2</v>
      </c>
      <c r="E19" s="3">
        <v>2</v>
      </c>
      <c r="F19" s="3">
        <v>1</v>
      </c>
      <c r="G19" s="3">
        <v>58</v>
      </c>
      <c r="M19" s="4" t="s">
        <v>12</v>
      </c>
      <c r="N19">
        <f t="shared" si="0"/>
        <v>0.5</v>
      </c>
      <c r="O19">
        <f t="shared" si="1"/>
        <v>52</v>
      </c>
      <c r="P19">
        <f t="shared" si="2"/>
        <v>4</v>
      </c>
      <c r="Q19">
        <f t="shared" si="3"/>
        <v>6</v>
      </c>
      <c r="R19">
        <f t="shared" si="4"/>
        <v>4</v>
      </c>
      <c r="S19">
        <f t="shared" si="5"/>
        <v>66.5</v>
      </c>
      <c r="T19">
        <f t="shared" si="6"/>
        <v>67</v>
      </c>
      <c r="Y19" s="14">
        <v>55</v>
      </c>
      <c r="Z19">
        <f t="shared" si="7"/>
        <v>7</v>
      </c>
    </row>
    <row r="20" spans="1:26" ht="15" thickBot="1" x14ac:dyDescent="0.25">
      <c r="A20" s="4" t="s">
        <v>15</v>
      </c>
      <c r="B20" s="3">
        <v>0</v>
      </c>
      <c r="C20" s="3">
        <v>39</v>
      </c>
      <c r="D20" s="3">
        <v>7</v>
      </c>
      <c r="E20" s="3">
        <v>2</v>
      </c>
      <c r="F20" s="3">
        <v>7</v>
      </c>
      <c r="G20" s="3">
        <v>55</v>
      </c>
      <c r="M20" s="4" t="s">
        <v>15</v>
      </c>
      <c r="N20">
        <f t="shared" si="0"/>
        <v>0</v>
      </c>
      <c r="O20">
        <f t="shared" si="1"/>
        <v>39</v>
      </c>
      <c r="P20">
        <f t="shared" si="2"/>
        <v>14</v>
      </c>
      <c r="Q20">
        <f t="shared" si="3"/>
        <v>6</v>
      </c>
      <c r="R20">
        <f t="shared" si="4"/>
        <v>28</v>
      </c>
      <c r="S20">
        <f t="shared" si="5"/>
        <v>87</v>
      </c>
      <c r="T20">
        <f t="shared" si="6"/>
        <v>87</v>
      </c>
      <c r="Y20" s="14">
        <v>43</v>
      </c>
      <c r="Z20">
        <f t="shared" si="7"/>
        <v>5</v>
      </c>
    </row>
    <row r="21" spans="1:26" ht="15" thickBot="1" x14ac:dyDescent="0.25">
      <c r="A21" s="4" t="s">
        <v>22</v>
      </c>
      <c r="B21" s="3">
        <v>0</v>
      </c>
      <c r="C21" s="3">
        <v>53</v>
      </c>
      <c r="D21" s="3">
        <v>1</v>
      </c>
      <c r="E21" s="3">
        <v>0</v>
      </c>
      <c r="F21" s="3">
        <v>0</v>
      </c>
      <c r="G21" s="3">
        <v>54</v>
      </c>
      <c r="M21" s="4" t="s">
        <v>22</v>
      </c>
      <c r="N21">
        <f t="shared" si="0"/>
        <v>0</v>
      </c>
      <c r="O21">
        <f t="shared" si="1"/>
        <v>53</v>
      </c>
      <c r="P21">
        <f t="shared" si="2"/>
        <v>2</v>
      </c>
      <c r="Q21">
        <f t="shared" si="3"/>
        <v>0</v>
      </c>
      <c r="R21">
        <f t="shared" si="4"/>
        <v>0</v>
      </c>
      <c r="S21">
        <f t="shared" si="5"/>
        <v>55</v>
      </c>
      <c r="T21">
        <f t="shared" si="6"/>
        <v>55</v>
      </c>
      <c r="Y21" s="14">
        <v>39</v>
      </c>
      <c r="Z21">
        <f t="shared" si="7"/>
        <v>5</v>
      </c>
    </row>
    <row r="22" spans="1:26" ht="15" thickBot="1" x14ac:dyDescent="0.25">
      <c r="A22" s="4" t="s">
        <v>24</v>
      </c>
      <c r="B22" s="3">
        <v>0</v>
      </c>
      <c r="C22" s="3">
        <v>49</v>
      </c>
      <c r="D22" s="3">
        <v>2</v>
      </c>
      <c r="E22" s="3">
        <v>1</v>
      </c>
      <c r="F22" s="3">
        <v>0</v>
      </c>
      <c r="G22" s="3">
        <v>52</v>
      </c>
      <c r="M22" s="4" t="s">
        <v>24</v>
      </c>
      <c r="N22">
        <f t="shared" si="0"/>
        <v>0</v>
      </c>
      <c r="O22">
        <f t="shared" si="1"/>
        <v>49</v>
      </c>
      <c r="P22">
        <f t="shared" si="2"/>
        <v>4</v>
      </c>
      <c r="Q22">
        <f t="shared" si="3"/>
        <v>3</v>
      </c>
      <c r="R22">
        <f t="shared" si="4"/>
        <v>0</v>
      </c>
      <c r="S22">
        <f t="shared" si="5"/>
        <v>56</v>
      </c>
      <c r="T22">
        <f t="shared" si="6"/>
        <v>56</v>
      </c>
      <c r="Y22" s="14">
        <v>37</v>
      </c>
      <c r="Z22">
        <f t="shared" si="7"/>
        <v>5</v>
      </c>
    </row>
    <row r="23" spans="1:26" ht="15" thickBot="1" x14ac:dyDescent="0.25">
      <c r="A23" s="4" t="s">
        <v>32</v>
      </c>
      <c r="B23" s="3">
        <v>1</v>
      </c>
      <c r="C23" s="3">
        <v>47</v>
      </c>
      <c r="D23" s="3">
        <v>3</v>
      </c>
      <c r="E23" s="3">
        <v>0</v>
      </c>
      <c r="F23" s="3">
        <v>1</v>
      </c>
      <c r="G23" s="3">
        <v>52</v>
      </c>
      <c r="M23" s="4" t="s">
        <v>32</v>
      </c>
      <c r="N23">
        <f t="shared" si="0"/>
        <v>0.5</v>
      </c>
      <c r="O23">
        <f t="shared" si="1"/>
        <v>47</v>
      </c>
      <c r="P23">
        <f t="shared" si="2"/>
        <v>6</v>
      </c>
      <c r="Q23">
        <f t="shared" si="3"/>
        <v>0</v>
      </c>
      <c r="R23">
        <f t="shared" si="4"/>
        <v>4</v>
      </c>
      <c r="S23">
        <f t="shared" si="5"/>
        <v>57.5</v>
      </c>
      <c r="T23">
        <f t="shared" si="6"/>
        <v>58</v>
      </c>
      <c r="Y23" s="14">
        <v>35</v>
      </c>
      <c r="Z23">
        <f t="shared" si="7"/>
        <v>4</v>
      </c>
    </row>
    <row r="24" spans="1:26" ht="15" thickBot="1" x14ac:dyDescent="0.25">
      <c r="A24" s="4" t="s">
        <v>25</v>
      </c>
      <c r="B24" s="3">
        <v>0</v>
      </c>
      <c r="C24" s="3">
        <v>50</v>
      </c>
      <c r="D24" s="3">
        <v>0</v>
      </c>
      <c r="E24" s="3">
        <v>0</v>
      </c>
      <c r="F24" s="3">
        <v>0</v>
      </c>
      <c r="G24" s="3">
        <v>50</v>
      </c>
      <c r="M24" s="4" t="s">
        <v>25</v>
      </c>
      <c r="N24">
        <f t="shared" si="0"/>
        <v>0</v>
      </c>
      <c r="O24">
        <f t="shared" si="1"/>
        <v>50</v>
      </c>
      <c r="P24">
        <f t="shared" si="2"/>
        <v>0</v>
      </c>
      <c r="Q24">
        <f t="shared" si="3"/>
        <v>0</v>
      </c>
      <c r="R24">
        <f t="shared" si="4"/>
        <v>0</v>
      </c>
      <c r="S24">
        <f t="shared" si="5"/>
        <v>50</v>
      </c>
      <c r="T24">
        <f t="shared" si="6"/>
        <v>50</v>
      </c>
      <c r="Y24" s="14">
        <v>35</v>
      </c>
      <c r="Z24">
        <f t="shared" si="7"/>
        <v>4</v>
      </c>
    </row>
    <row r="25" spans="1:26" ht="15" thickBot="1" x14ac:dyDescent="0.25">
      <c r="A25" s="4" t="s">
        <v>21</v>
      </c>
      <c r="B25" s="3">
        <v>3</v>
      </c>
      <c r="C25" s="3">
        <v>37</v>
      </c>
      <c r="D25" s="3">
        <v>2</v>
      </c>
      <c r="E25" s="3">
        <v>0</v>
      </c>
      <c r="F25" s="3">
        <v>0</v>
      </c>
      <c r="G25" s="3">
        <v>42</v>
      </c>
      <c r="M25" s="4" t="s">
        <v>21</v>
      </c>
      <c r="N25">
        <f t="shared" si="0"/>
        <v>1.5</v>
      </c>
      <c r="O25">
        <f t="shared" si="1"/>
        <v>37</v>
      </c>
      <c r="P25">
        <f t="shared" si="2"/>
        <v>4</v>
      </c>
      <c r="Q25">
        <f t="shared" si="3"/>
        <v>0</v>
      </c>
      <c r="R25">
        <f t="shared" si="4"/>
        <v>0</v>
      </c>
      <c r="S25">
        <f t="shared" si="5"/>
        <v>42.5</v>
      </c>
      <c r="T25">
        <f t="shared" si="6"/>
        <v>43</v>
      </c>
      <c r="Y25" s="14">
        <v>30</v>
      </c>
      <c r="Z25">
        <f t="shared" si="7"/>
        <v>4</v>
      </c>
    </row>
    <row r="26" spans="1:26" ht="15" thickBot="1" x14ac:dyDescent="0.25">
      <c r="A26" s="4" t="s">
        <v>5</v>
      </c>
      <c r="B26" s="3">
        <v>7</v>
      </c>
      <c r="C26" s="3">
        <v>27</v>
      </c>
      <c r="D26" s="3">
        <v>2</v>
      </c>
      <c r="E26" s="3">
        <v>0</v>
      </c>
      <c r="F26" s="3">
        <v>0</v>
      </c>
      <c r="G26" s="3">
        <v>36</v>
      </c>
      <c r="M26" s="4" t="s">
        <v>5</v>
      </c>
      <c r="N26">
        <f t="shared" si="0"/>
        <v>3.5</v>
      </c>
      <c r="O26">
        <f t="shared" si="1"/>
        <v>27</v>
      </c>
      <c r="P26">
        <f t="shared" si="2"/>
        <v>4</v>
      </c>
      <c r="Q26">
        <f t="shared" si="3"/>
        <v>0</v>
      </c>
      <c r="R26">
        <f t="shared" si="4"/>
        <v>0</v>
      </c>
      <c r="S26">
        <f t="shared" si="5"/>
        <v>34.5</v>
      </c>
      <c r="T26">
        <f t="shared" si="6"/>
        <v>35</v>
      </c>
      <c r="Y26" s="14">
        <v>29</v>
      </c>
      <c r="Z26">
        <f t="shared" si="7"/>
        <v>4</v>
      </c>
    </row>
    <row r="27" spans="1:26" ht="15" thickBot="1" x14ac:dyDescent="0.25">
      <c r="A27" s="4" t="s">
        <v>18</v>
      </c>
      <c r="B27" s="3">
        <v>3</v>
      </c>
      <c r="C27" s="3">
        <v>31</v>
      </c>
      <c r="D27" s="3">
        <v>2</v>
      </c>
      <c r="E27" s="3">
        <v>0</v>
      </c>
      <c r="F27" s="3">
        <v>0</v>
      </c>
      <c r="G27" s="3">
        <v>36</v>
      </c>
      <c r="M27" s="4" t="s">
        <v>18</v>
      </c>
      <c r="N27">
        <f t="shared" si="0"/>
        <v>1.5</v>
      </c>
      <c r="O27">
        <f t="shared" si="1"/>
        <v>31</v>
      </c>
      <c r="P27">
        <f t="shared" si="2"/>
        <v>4</v>
      </c>
      <c r="Q27">
        <f t="shared" si="3"/>
        <v>0</v>
      </c>
      <c r="R27">
        <f t="shared" si="4"/>
        <v>0</v>
      </c>
      <c r="S27">
        <f t="shared" si="5"/>
        <v>36.5</v>
      </c>
      <c r="T27">
        <f t="shared" si="6"/>
        <v>37</v>
      </c>
      <c r="Y27" s="14">
        <v>21</v>
      </c>
      <c r="Z27">
        <f t="shared" si="7"/>
        <v>3</v>
      </c>
    </row>
    <row r="28" spans="1:26" ht="15" thickBot="1" x14ac:dyDescent="0.25">
      <c r="A28" s="4" t="s">
        <v>54</v>
      </c>
      <c r="B28" s="3">
        <v>8</v>
      </c>
      <c r="C28" s="3">
        <v>27</v>
      </c>
      <c r="D28" s="3">
        <v>0</v>
      </c>
      <c r="E28" s="3">
        <v>0</v>
      </c>
      <c r="F28" s="3">
        <v>0</v>
      </c>
      <c r="G28" s="3">
        <v>35</v>
      </c>
      <c r="M28" s="4" t="s">
        <v>54</v>
      </c>
      <c r="N28">
        <f t="shared" si="0"/>
        <v>4</v>
      </c>
      <c r="O28">
        <f t="shared" si="1"/>
        <v>27</v>
      </c>
      <c r="P28">
        <f t="shared" si="2"/>
        <v>0</v>
      </c>
      <c r="Q28">
        <f t="shared" si="3"/>
        <v>0</v>
      </c>
      <c r="R28">
        <f t="shared" si="4"/>
        <v>0</v>
      </c>
      <c r="S28">
        <f t="shared" si="5"/>
        <v>31</v>
      </c>
      <c r="T28">
        <f t="shared" si="6"/>
        <v>31</v>
      </c>
      <c r="Y28" s="14">
        <v>20</v>
      </c>
      <c r="Z28">
        <f t="shared" si="7"/>
        <v>3</v>
      </c>
    </row>
    <row r="29" spans="1:26" ht="15" thickBot="1" x14ac:dyDescent="0.25">
      <c r="A29" s="4" t="s">
        <v>4</v>
      </c>
      <c r="B29" s="3">
        <v>3</v>
      </c>
      <c r="C29" s="3">
        <v>27</v>
      </c>
      <c r="D29" s="3">
        <v>3</v>
      </c>
      <c r="E29" s="3">
        <v>0</v>
      </c>
      <c r="F29" s="3">
        <v>1</v>
      </c>
      <c r="G29" s="3">
        <v>34</v>
      </c>
      <c r="M29" s="4" t="s">
        <v>4</v>
      </c>
      <c r="N29">
        <f t="shared" si="0"/>
        <v>1.5</v>
      </c>
      <c r="O29">
        <f t="shared" si="1"/>
        <v>27</v>
      </c>
      <c r="P29">
        <f t="shared" si="2"/>
        <v>6</v>
      </c>
      <c r="Q29">
        <f t="shared" si="3"/>
        <v>0</v>
      </c>
      <c r="R29">
        <f t="shared" si="4"/>
        <v>4</v>
      </c>
      <c r="S29">
        <f t="shared" si="5"/>
        <v>38.5</v>
      </c>
      <c r="T29">
        <f t="shared" si="6"/>
        <v>39</v>
      </c>
      <c r="Y29" s="14">
        <v>19</v>
      </c>
      <c r="Z29">
        <f t="shared" si="7"/>
        <v>2</v>
      </c>
    </row>
    <row r="30" spans="1:26" ht="15" thickBot="1" x14ac:dyDescent="0.25">
      <c r="A30" s="4" t="s">
        <v>47</v>
      </c>
      <c r="B30" s="3">
        <v>0</v>
      </c>
      <c r="C30" s="3">
        <v>30</v>
      </c>
      <c r="D30" s="3">
        <v>0</v>
      </c>
      <c r="E30" s="3">
        <v>0</v>
      </c>
      <c r="F30" s="3">
        <v>0</v>
      </c>
      <c r="G30" s="3">
        <v>30</v>
      </c>
      <c r="M30" s="4" t="s">
        <v>47</v>
      </c>
      <c r="N30">
        <f t="shared" si="0"/>
        <v>0</v>
      </c>
      <c r="O30">
        <f t="shared" si="1"/>
        <v>30</v>
      </c>
      <c r="P30">
        <f t="shared" si="2"/>
        <v>0</v>
      </c>
      <c r="Q30">
        <f t="shared" si="3"/>
        <v>0</v>
      </c>
      <c r="R30">
        <f t="shared" si="4"/>
        <v>0</v>
      </c>
      <c r="S30">
        <f t="shared" si="5"/>
        <v>30</v>
      </c>
      <c r="T30">
        <f t="shared" si="6"/>
        <v>30</v>
      </c>
      <c r="Y30" s="14">
        <v>19</v>
      </c>
      <c r="Z30">
        <f t="shared" si="7"/>
        <v>2</v>
      </c>
    </row>
    <row r="31" spans="1:26" ht="15" thickBot="1" x14ac:dyDescent="0.25">
      <c r="A31" s="4" t="s">
        <v>40</v>
      </c>
      <c r="B31" s="3">
        <v>0</v>
      </c>
      <c r="C31" s="3">
        <v>25</v>
      </c>
      <c r="D31" s="3">
        <v>2</v>
      </c>
      <c r="E31" s="3">
        <v>0</v>
      </c>
      <c r="F31" s="3">
        <v>0</v>
      </c>
      <c r="G31" s="3">
        <v>27</v>
      </c>
      <c r="M31" s="4" t="s">
        <v>40</v>
      </c>
      <c r="N31">
        <f t="shared" si="0"/>
        <v>0</v>
      </c>
      <c r="O31">
        <f t="shared" si="1"/>
        <v>25</v>
      </c>
      <c r="P31">
        <f t="shared" si="2"/>
        <v>4</v>
      </c>
      <c r="Q31">
        <f t="shared" si="3"/>
        <v>0</v>
      </c>
      <c r="R31">
        <f t="shared" si="4"/>
        <v>0</v>
      </c>
      <c r="S31">
        <f t="shared" si="5"/>
        <v>29</v>
      </c>
      <c r="T31">
        <f t="shared" si="6"/>
        <v>29</v>
      </c>
      <c r="Y31" s="14">
        <v>17</v>
      </c>
      <c r="Z31">
        <f t="shared" si="7"/>
        <v>2</v>
      </c>
    </row>
    <row r="32" spans="1:26" ht="15" thickBot="1" x14ac:dyDescent="0.25">
      <c r="A32" s="4" t="s">
        <v>23</v>
      </c>
      <c r="B32" s="3">
        <v>0</v>
      </c>
      <c r="C32" s="3">
        <v>21</v>
      </c>
      <c r="D32" s="3">
        <v>0</v>
      </c>
      <c r="E32" s="3">
        <v>0</v>
      </c>
      <c r="F32" s="3">
        <v>0</v>
      </c>
      <c r="G32" s="3">
        <v>21</v>
      </c>
      <c r="M32" s="4" t="s">
        <v>23</v>
      </c>
      <c r="N32">
        <f t="shared" si="0"/>
        <v>0</v>
      </c>
      <c r="O32">
        <f t="shared" si="1"/>
        <v>21</v>
      </c>
      <c r="P32">
        <f t="shared" si="2"/>
        <v>0</v>
      </c>
      <c r="Q32">
        <f t="shared" si="3"/>
        <v>0</v>
      </c>
      <c r="R32">
        <f t="shared" si="4"/>
        <v>0</v>
      </c>
      <c r="S32">
        <f t="shared" si="5"/>
        <v>21</v>
      </c>
      <c r="T32">
        <f t="shared" si="6"/>
        <v>21</v>
      </c>
      <c r="Y32" s="14">
        <v>13</v>
      </c>
      <c r="Z32">
        <f t="shared" si="7"/>
        <v>2</v>
      </c>
    </row>
    <row r="33" spans="1:26" ht="15" thickBot="1" x14ac:dyDescent="0.25">
      <c r="A33" s="4" t="s">
        <v>37</v>
      </c>
      <c r="B33" s="3">
        <v>0</v>
      </c>
      <c r="C33" s="3">
        <v>18</v>
      </c>
      <c r="D33" s="3">
        <v>1</v>
      </c>
      <c r="E33" s="3">
        <v>0</v>
      </c>
      <c r="F33" s="3">
        <v>0</v>
      </c>
      <c r="G33" s="3">
        <v>19</v>
      </c>
      <c r="M33" s="4" t="s">
        <v>37</v>
      </c>
      <c r="N33">
        <f t="shared" si="0"/>
        <v>0</v>
      </c>
      <c r="O33">
        <f t="shared" si="1"/>
        <v>18</v>
      </c>
      <c r="P33">
        <f t="shared" si="2"/>
        <v>2</v>
      </c>
      <c r="Q33">
        <f t="shared" si="3"/>
        <v>0</v>
      </c>
      <c r="R33">
        <f t="shared" si="4"/>
        <v>0</v>
      </c>
      <c r="S33">
        <f t="shared" si="5"/>
        <v>20</v>
      </c>
      <c r="T33">
        <f t="shared" si="6"/>
        <v>20</v>
      </c>
      <c r="Y33" s="14">
        <v>13</v>
      </c>
      <c r="Z33">
        <f t="shared" si="7"/>
        <v>2</v>
      </c>
    </row>
    <row r="34" spans="1:26" ht="15" thickBot="1" x14ac:dyDescent="0.25">
      <c r="A34" s="4" t="s">
        <v>14</v>
      </c>
      <c r="B34" s="3">
        <v>1</v>
      </c>
      <c r="C34" s="3">
        <v>13</v>
      </c>
      <c r="D34" s="3">
        <v>3</v>
      </c>
      <c r="E34" s="3">
        <v>1</v>
      </c>
      <c r="F34" s="3">
        <v>0</v>
      </c>
      <c r="G34" s="3">
        <v>18</v>
      </c>
      <c r="M34" s="4" t="s">
        <v>14</v>
      </c>
      <c r="N34">
        <f t="shared" si="0"/>
        <v>0.5</v>
      </c>
      <c r="O34">
        <f t="shared" si="1"/>
        <v>13</v>
      </c>
      <c r="P34">
        <f t="shared" si="2"/>
        <v>6</v>
      </c>
      <c r="Q34">
        <f t="shared" si="3"/>
        <v>3</v>
      </c>
      <c r="R34">
        <f t="shared" si="4"/>
        <v>0</v>
      </c>
      <c r="S34">
        <f t="shared" si="5"/>
        <v>22.5</v>
      </c>
      <c r="T34">
        <f t="shared" si="6"/>
        <v>23</v>
      </c>
      <c r="Y34" s="14">
        <v>10</v>
      </c>
      <c r="Z34">
        <f t="shared" si="7"/>
        <v>1</v>
      </c>
    </row>
    <row r="35" spans="1:26" ht="15" thickBot="1" x14ac:dyDescent="0.25">
      <c r="A35" s="4" t="s">
        <v>45</v>
      </c>
      <c r="B35" s="3">
        <v>2</v>
      </c>
      <c r="C35" s="3">
        <v>14</v>
      </c>
      <c r="D35" s="3">
        <v>2</v>
      </c>
      <c r="E35" s="3">
        <v>0</v>
      </c>
      <c r="F35" s="3">
        <v>0</v>
      </c>
      <c r="G35" s="3">
        <v>18</v>
      </c>
      <c r="M35" s="4" t="s">
        <v>45</v>
      </c>
      <c r="N35">
        <f t="shared" si="0"/>
        <v>1</v>
      </c>
      <c r="O35">
        <f t="shared" si="1"/>
        <v>14</v>
      </c>
      <c r="P35">
        <f t="shared" si="2"/>
        <v>4</v>
      </c>
      <c r="Q35">
        <f t="shared" si="3"/>
        <v>0</v>
      </c>
      <c r="R35">
        <f t="shared" si="4"/>
        <v>0</v>
      </c>
      <c r="S35">
        <f t="shared" si="5"/>
        <v>19</v>
      </c>
      <c r="T35">
        <f t="shared" si="6"/>
        <v>19</v>
      </c>
      <c r="Y35" s="14">
        <v>9</v>
      </c>
      <c r="Z35">
        <f t="shared" si="7"/>
        <v>1</v>
      </c>
    </row>
    <row r="36" spans="1:26" ht="15" thickBot="1" x14ac:dyDescent="0.25">
      <c r="A36" s="4" t="s">
        <v>10</v>
      </c>
      <c r="B36" s="3">
        <v>0</v>
      </c>
      <c r="C36" s="3">
        <v>17</v>
      </c>
      <c r="D36" s="3">
        <v>0</v>
      </c>
      <c r="E36" s="3">
        <v>0</v>
      </c>
      <c r="F36" s="3">
        <v>0</v>
      </c>
      <c r="G36" s="3">
        <v>17</v>
      </c>
      <c r="M36" s="4" t="s">
        <v>10</v>
      </c>
      <c r="N36">
        <f t="shared" si="0"/>
        <v>0</v>
      </c>
      <c r="O36">
        <f t="shared" si="1"/>
        <v>17</v>
      </c>
      <c r="P36">
        <f t="shared" si="2"/>
        <v>0</v>
      </c>
      <c r="Q36">
        <f t="shared" si="3"/>
        <v>0</v>
      </c>
      <c r="R36">
        <f t="shared" si="4"/>
        <v>0</v>
      </c>
      <c r="S36">
        <f t="shared" si="5"/>
        <v>17</v>
      </c>
      <c r="T36">
        <f t="shared" si="6"/>
        <v>17</v>
      </c>
      <c r="Y36" s="14">
        <v>9</v>
      </c>
      <c r="Z36">
        <f t="shared" si="7"/>
        <v>1</v>
      </c>
    </row>
    <row r="37" spans="1:26" ht="15" thickBot="1" x14ac:dyDescent="0.25">
      <c r="A37" s="4" t="s">
        <v>34</v>
      </c>
      <c r="B37" s="3">
        <v>2</v>
      </c>
      <c r="C37" s="3">
        <v>10</v>
      </c>
      <c r="D37" s="3">
        <v>4</v>
      </c>
      <c r="E37" s="3">
        <v>0</v>
      </c>
      <c r="F37" s="3">
        <v>0</v>
      </c>
      <c r="G37" s="3">
        <v>16</v>
      </c>
      <c r="M37" s="4" t="s">
        <v>34</v>
      </c>
      <c r="N37">
        <f t="shared" si="0"/>
        <v>1</v>
      </c>
      <c r="O37">
        <f t="shared" si="1"/>
        <v>10</v>
      </c>
      <c r="P37">
        <f t="shared" si="2"/>
        <v>8</v>
      </c>
      <c r="Q37">
        <f t="shared" si="3"/>
        <v>0</v>
      </c>
      <c r="R37">
        <f t="shared" si="4"/>
        <v>0</v>
      </c>
      <c r="S37">
        <f t="shared" si="5"/>
        <v>19</v>
      </c>
      <c r="T37">
        <f t="shared" si="6"/>
        <v>19</v>
      </c>
      <c r="Y37" s="14">
        <v>7</v>
      </c>
      <c r="Z37">
        <f t="shared" si="7"/>
        <v>1</v>
      </c>
    </row>
    <row r="38" spans="1:26" ht="15" thickBot="1" x14ac:dyDescent="0.25">
      <c r="A38" s="4" t="s">
        <v>27</v>
      </c>
      <c r="B38" s="3">
        <v>0</v>
      </c>
      <c r="C38" s="3">
        <v>13</v>
      </c>
      <c r="D38" s="3">
        <v>0</v>
      </c>
      <c r="E38" s="3">
        <v>0</v>
      </c>
      <c r="F38" s="3">
        <v>0</v>
      </c>
      <c r="G38" s="3">
        <v>13</v>
      </c>
      <c r="M38" s="4" t="s">
        <v>27</v>
      </c>
      <c r="N38">
        <f t="shared" si="0"/>
        <v>0</v>
      </c>
      <c r="O38">
        <f t="shared" si="1"/>
        <v>13</v>
      </c>
      <c r="P38">
        <f t="shared" si="2"/>
        <v>0</v>
      </c>
      <c r="Q38">
        <f t="shared" si="3"/>
        <v>0</v>
      </c>
      <c r="R38">
        <f t="shared" si="4"/>
        <v>0</v>
      </c>
      <c r="S38">
        <f t="shared" si="5"/>
        <v>13</v>
      </c>
      <c r="T38">
        <f t="shared" si="6"/>
        <v>13</v>
      </c>
      <c r="Y38" s="14">
        <v>6</v>
      </c>
      <c r="Z38">
        <f t="shared" si="7"/>
        <v>1</v>
      </c>
    </row>
    <row r="39" spans="1:26" ht="15" thickBot="1" x14ac:dyDescent="0.25">
      <c r="A39" s="4" t="s">
        <v>44</v>
      </c>
      <c r="B39" s="3">
        <v>0</v>
      </c>
      <c r="C39" s="3">
        <v>11</v>
      </c>
      <c r="D39" s="3">
        <v>1</v>
      </c>
      <c r="E39" s="3">
        <v>0</v>
      </c>
      <c r="F39" s="3">
        <v>0</v>
      </c>
      <c r="G39" s="3">
        <v>12</v>
      </c>
      <c r="M39" s="4" t="s">
        <v>44</v>
      </c>
      <c r="N39">
        <f t="shared" si="0"/>
        <v>0</v>
      </c>
      <c r="O39">
        <f t="shared" si="1"/>
        <v>11</v>
      </c>
      <c r="P39">
        <f t="shared" si="2"/>
        <v>2</v>
      </c>
      <c r="Q39">
        <f t="shared" si="3"/>
        <v>0</v>
      </c>
      <c r="R39">
        <f t="shared" si="4"/>
        <v>0</v>
      </c>
      <c r="S39">
        <f t="shared" si="5"/>
        <v>13</v>
      </c>
      <c r="T39">
        <f t="shared" si="6"/>
        <v>13</v>
      </c>
      <c r="Y39" s="14">
        <v>4</v>
      </c>
      <c r="Z39">
        <f t="shared" si="7"/>
        <v>1</v>
      </c>
    </row>
    <row r="40" spans="1:26" ht="15" thickBot="1" x14ac:dyDescent="0.25">
      <c r="A40" s="4" t="s">
        <v>30</v>
      </c>
      <c r="B40" s="3">
        <v>4</v>
      </c>
      <c r="C40" s="3">
        <v>7</v>
      </c>
      <c r="D40" s="3">
        <v>0</v>
      </c>
      <c r="E40" s="3">
        <v>0</v>
      </c>
      <c r="F40" s="3">
        <v>0</v>
      </c>
      <c r="G40" s="3">
        <v>11</v>
      </c>
      <c r="M40" s="4" t="s">
        <v>30</v>
      </c>
      <c r="N40">
        <f t="shared" si="0"/>
        <v>2</v>
      </c>
      <c r="O40">
        <f t="shared" si="1"/>
        <v>7</v>
      </c>
      <c r="P40">
        <f t="shared" si="2"/>
        <v>0</v>
      </c>
      <c r="Q40">
        <f t="shared" si="3"/>
        <v>0</v>
      </c>
      <c r="R40">
        <f t="shared" si="4"/>
        <v>0</v>
      </c>
      <c r="S40">
        <f t="shared" si="5"/>
        <v>9</v>
      </c>
      <c r="T40">
        <f t="shared" si="6"/>
        <v>9</v>
      </c>
      <c r="Y40" s="14">
        <v>4</v>
      </c>
      <c r="Z40">
        <f t="shared" si="7"/>
        <v>1</v>
      </c>
    </row>
    <row r="41" spans="1:26" ht="15" thickBot="1" x14ac:dyDescent="0.25">
      <c r="A41" s="4" t="s">
        <v>9</v>
      </c>
      <c r="B41" s="3">
        <v>0</v>
      </c>
      <c r="C41" s="3">
        <v>10</v>
      </c>
      <c r="D41" s="3">
        <v>0</v>
      </c>
      <c r="E41" s="3">
        <v>0</v>
      </c>
      <c r="F41" s="3">
        <v>0</v>
      </c>
      <c r="G41" s="3">
        <v>10</v>
      </c>
      <c r="M41" s="4" t="s">
        <v>9</v>
      </c>
      <c r="N41">
        <f t="shared" si="0"/>
        <v>0</v>
      </c>
      <c r="O41">
        <f t="shared" si="1"/>
        <v>10</v>
      </c>
      <c r="P41">
        <f t="shared" si="2"/>
        <v>0</v>
      </c>
      <c r="Q41">
        <f t="shared" si="3"/>
        <v>0</v>
      </c>
      <c r="R41">
        <f t="shared" si="4"/>
        <v>0</v>
      </c>
      <c r="S41">
        <f t="shared" si="5"/>
        <v>10</v>
      </c>
      <c r="T41">
        <f t="shared" si="6"/>
        <v>10</v>
      </c>
      <c r="Y41" s="14">
        <v>3</v>
      </c>
      <c r="Z41">
        <f t="shared" si="7"/>
        <v>0</v>
      </c>
    </row>
    <row r="42" spans="1:26" ht="15" thickBot="1" x14ac:dyDescent="0.25">
      <c r="A42" s="4" t="s">
        <v>43</v>
      </c>
      <c r="B42" s="3">
        <v>1</v>
      </c>
      <c r="C42" s="3">
        <v>6</v>
      </c>
      <c r="D42" s="3">
        <v>0</v>
      </c>
      <c r="E42" s="3">
        <v>0</v>
      </c>
      <c r="F42" s="3">
        <v>0</v>
      </c>
      <c r="G42" s="3">
        <v>7</v>
      </c>
      <c r="M42" s="4" t="s">
        <v>43</v>
      </c>
      <c r="N42">
        <f t="shared" si="0"/>
        <v>0.5</v>
      </c>
      <c r="O42">
        <f t="shared" si="1"/>
        <v>6</v>
      </c>
      <c r="P42">
        <f t="shared" si="2"/>
        <v>0</v>
      </c>
      <c r="Q42">
        <f t="shared" si="3"/>
        <v>0</v>
      </c>
      <c r="R42">
        <f t="shared" si="4"/>
        <v>0</v>
      </c>
      <c r="S42">
        <f t="shared" si="5"/>
        <v>6.5</v>
      </c>
      <c r="T42">
        <f t="shared" si="6"/>
        <v>7</v>
      </c>
      <c r="Y42" s="14">
        <v>3</v>
      </c>
      <c r="Z42">
        <f t="shared" si="7"/>
        <v>0</v>
      </c>
    </row>
    <row r="43" spans="1:26" ht="15" thickBot="1" x14ac:dyDescent="0.25">
      <c r="A43" s="4" t="s">
        <v>8</v>
      </c>
      <c r="B43" s="3">
        <v>0</v>
      </c>
      <c r="C43" s="3">
        <v>5</v>
      </c>
      <c r="D43" s="3">
        <v>2</v>
      </c>
      <c r="E43" s="3">
        <v>0</v>
      </c>
      <c r="F43" s="3">
        <v>0</v>
      </c>
      <c r="G43" s="3">
        <v>7</v>
      </c>
      <c r="M43" s="4" t="s">
        <v>8</v>
      </c>
      <c r="N43">
        <f t="shared" si="0"/>
        <v>0</v>
      </c>
      <c r="O43">
        <f t="shared" si="1"/>
        <v>5</v>
      </c>
      <c r="P43">
        <f t="shared" si="2"/>
        <v>4</v>
      </c>
      <c r="Q43">
        <f t="shared" si="3"/>
        <v>0</v>
      </c>
      <c r="R43">
        <f t="shared" si="4"/>
        <v>0</v>
      </c>
      <c r="S43">
        <f t="shared" si="5"/>
        <v>9</v>
      </c>
      <c r="T43">
        <f t="shared" si="6"/>
        <v>9</v>
      </c>
      <c r="Y43" s="14">
        <v>2</v>
      </c>
      <c r="Z43">
        <f t="shared" si="7"/>
        <v>0</v>
      </c>
    </row>
    <row r="44" spans="1:26" ht="15" thickBot="1" x14ac:dyDescent="0.25">
      <c r="A44" s="4" t="s">
        <v>36</v>
      </c>
      <c r="B44" s="3">
        <v>0</v>
      </c>
      <c r="C44" s="3">
        <v>6</v>
      </c>
      <c r="D44" s="3">
        <v>0</v>
      </c>
      <c r="E44" s="3">
        <v>0</v>
      </c>
      <c r="F44" s="3">
        <v>0</v>
      </c>
      <c r="G44" s="3">
        <v>6</v>
      </c>
      <c r="M44" s="4" t="s">
        <v>36</v>
      </c>
      <c r="N44">
        <f t="shared" si="0"/>
        <v>0</v>
      </c>
      <c r="O44">
        <f t="shared" si="1"/>
        <v>6</v>
      </c>
      <c r="P44">
        <f t="shared" si="2"/>
        <v>0</v>
      </c>
      <c r="Q44">
        <f t="shared" si="3"/>
        <v>0</v>
      </c>
      <c r="R44">
        <f t="shared" si="4"/>
        <v>0</v>
      </c>
      <c r="S44">
        <f t="shared" si="5"/>
        <v>6</v>
      </c>
      <c r="T44">
        <f t="shared" si="6"/>
        <v>6</v>
      </c>
      <c r="Y44" s="14">
        <v>2</v>
      </c>
      <c r="Z44">
        <f t="shared" si="7"/>
        <v>0</v>
      </c>
    </row>
    <row r="45" spans="1:26" ht="15" thickBot="1" x14ac:dyDescent="0.25">
      <c r="A45" s="4" t="s">
        <v>51</v>
      </c>
      <c r="B45" s="3">
        <v>0</v>
      </c>
      <c r="C45" s="3">
        <v>5</v>
      </c>
      <c r="D45" s="3">
        <v>1</v>
      </c>
      <c r="E45" s="3">
        <v>0</v>
      </c>
      <c r="F45" s="3">
        <v>0</v>
      </c>
      <c r="G45" s="3">
        <v>6</v>
      </c>
      <c r="M45" s="4" t="s">
        <v>51</v>
      </c>
      <c r="N45">
        <f t="shared" si="0"/>
        <v>0</v>
      </c>
      <c r="O45">
        <f t="shared" si="1"/>
        <v>5</v>
      </c>
      <c r="P45">
        <f t="shared" si="2"/>
        <v>2</v>
      </c>
      <c r="Q45">
        <f t="shared" si="3"/>
        <v>0</v>
      </c>
      <c r="R45">
        <f t="shared" si="4"/>
        <v>0</v>
      </c>
      <c r="S45">
        <f t="shared" si="5"/>
        <v>7</v>
      </c>
      <c r="T45">
        <f t="shared" si="6"/>
        <v>7</v>
      </c>
      <c r="Y45" s="14">
        <v>1</v>
      </c>
      <c r="Z45">
        <f t="shared" si="7"/>
        <v>0</v>
      </c>
    </row>
    <row r="46" spans="1:26" ht="15" thickBot="1" x14ac:dyDescent="0.25">
      <c r="A46" s="4" t="s">
        <v>55</v>
      </c>
      <c r="B46" s="3">
        <v>0</v>
      </c>
      <c r="C46" s="3">
        <v>4</v>
      </c>
      <c r="D46" s="3">
        <v>0</v>
      </c>
      <c r="E46" s="3">
        <v>0</v>
      </c>
      <c r="F46" s="3">
        <v>0</v>
      </c>
      <c r="G46" s="3">
        <v>4</v>
      </c>
      <c r="M46" s="4" t="s">
        <v>55</v>
      </c>
      <c r="N46">
        <f t="shared" si="0"/>
        <v>0</v>
      </c>
      <c r="O46">
        <f t="shared" si="1"/>
        <v>4</v>
      </c>
      <c r="P46">
        <f t="shared" si="2"/>
        <v>0</v>
      </c>
      <c r="Q46">
        <f t="shared" si="3"/>
        <v>0</v>
      </c>
      <c r="R46">
        <f t="shared" si="4"/>
        <v>0</v>
      </c>
      <c r="S46">
        <f t="shared" si="5"/>
        <v>4</v>
      </c>
      <c r="T46">
        <f t="shared" si="6"/>
        <v>4</v>
      </c>
      <c r="Y46" s="14">
        <v>1</v>
      </c>
      <c r="Z46">
        <f t="shared" si="7"/>
        <v>0</v>
      </c>
    </row>
    <row r="47" spans="1:26" ht="15" thickBot="1" x14ac:dyDescent="0.25">
      <c r="A47" s="4" t="s">
        <v>49</v>
      </c>
      <c r="B47" s="3">
        <v>0</v>
      </c>
      <c r="C47" s="3">
        <v>4</v>
      </c>
      <c r="D47" s="3">
        <v>0</v>
      </c>
      <c r="E47" s="3">
        <v>0</v>
      </c>
      <c r="F47" s="3">
        <v>0</v>
      </c>
      <c r="G47" s="3">
        <v>4</v>
      </c>
      <c r="M47" s="4" t="s">
        <v>49</v>
      </c>
      <c r="N47">
        <f t="shared" si="0"/>
        <v>0</v>
      </c>
      <c r="O47">
        <f t="shared" si="1"/>
        <v>4</v>
      </c>
      <c r="P47">
        <f t="shared" si="2"/>
        <v>0</v>
      </c>
      <c r="Q47">
        <f t="shared" si="3"/>
        <v>0</v>
      </c>
      <c r="R47">
        <f t="shared" si="4"/>
        <v>0</v>
      </c>
      <c r="S47">
        <f t="shared" si="5"/>
        <v>4</v>
      </c>
      <c r="T47">
        <f t="shared" si="6"/>
        <v>4</v>
      </c>
      <c r="Y47" s="14">
        <v>1</v>
      </c>
      <c r="Z47">
        <f t="shared" si="7"/>
        <v>0</v>
      </c>
    </row>
    <row r="48" spans="1:26" ht="15" thickBot="1" x14ac:dyDescent="0.25">
      <c r="A48" s="4" t="s">
        <v>38</v>
      </c>
      <c r="B48" s="3">
        <v>3</v>
      </c>
      <c r="C48" s="3">
        <v>1</v>
      </c>
      <c r="D48" s="3">
        <v>0</v>
      </c>
      <c r="E48" s="3">
        <v>0</v>
      </c>
      <c r="F48" s="3">
        <v>0</v>
      </c>
      <c r="G48" s="3">
        <v>4</v>
      </c>
      <c r="M48" s="4" t="s">
        <v>38</v>
      </c>
      <c r="N48">
        <f t="shared" si="0"/>
        <v>1.5</v>
      </c>
      <c r="O48">
        <f t="shared" si="1"/>
        <v>1</v>
      </c>
      <c r="P48">
        <f t="shared" si="2"/>
        <v>0</v>
      </c>
      <c r="Q48">
        <f t="shared" si="3"/>
        <v>0</v>
      </c>
      <c r="R48">
        <f t="shared" si="4"/>
        <v>0</v>
      </c>
      <c r="S48">
        <f t="shared" si="5"/>
        <v>2.5</v>
      </c>
      <c r="T48">
        <f t="shared" si="6"/>
        <v>3</v>
      </c>
      <c r="Y48" s="14">
        <v>1</v>
      </c>
      <c r="Z48">
        <f t="shared" si="7"/>
        <v>0</v>
      </c>
    </row>
    <row r="49" spans="1:26" ht="15" thickBot="1" x14ac:dyDescent="0.25">
      <c r="A49" s="4" t="s">
        <v>56</v>
      </c>
      <c r="B49" s="3">
        <v>0</v>
      </c>
      <c r="C49" s="3">
        <v>3</v>
      </c>
      <c r="D49" s="3">
        <v>0</v>
      </c>
      <c r="E49" s="3">
        <v>0</v>
      </c>
      <c r="F49" s="3">
        <v>0</v>
      </c>
      <c r="G49" s="3">
        <v>3</v>
      </c>
      <c r="M49" s="4" t="s">
        <v>56</v>
      </c>
      <c r="N49">
        <f t="shared" si="0"/>
        <v>0</v>
      </c>
      <c r="O49">
        <f t="shared" si="1"/>
        <v>3</v>
      </c>
      <c r="P49">
        <f t="shared" si="2"/>
        <v>0</v>
      </c>
      <c r="Q49">
        <f t="shared" si="3"/>
        <v>0</v>
      </c>
      <c r="R49">
        <f t="shared" si="4"/>
        <v>0</v>
      </c>
      <c r="S49">
        <f t="shared" si="5"/>
        <v>3</v>
      </c>
      <c r="T49">
        <f t="shared" si="6"/>
        <v>3</v>
      </c>
      <c r="Y49" s="14">
        <v>1</v>
      </c>
      <c r="Z49">
        <f t="shared" si="7"/>
        <v>0</v>
      </c>
    </row>
    <row r="50" spans="1:26" ht="15" thickBot="1" x14ac:dyDescent="0.25">
      <c r="A50" s="4" t="s">
        <v>35</v>
      </c>
      <c r="B50" s="3">
        <v>0</v>
      </c>
      <c r="C50" s="3">
        <v>3</v>
      </c>
      <c r="D50" s="3">
        <v>0</v>
      </c>
      <c r="E50" s="3">
        <v>0</v>
      </c>
      <c r="F50" s="3">
        <v>0</v>
      </c>
      <c r="G50" s="3">
        <v>3</v>
      </c>
      <c r="M50" s="4" t="s">
        <v>35</v>
      </c>
      <c r="N50">
        <f t="shared" si="0"/>
        <v>0</v>
      </c>
      <c r="O50">
        <f t="shared" si="1"/>
        <v>3</v>
      </c>
      <c r="P50">
        <f t="shared" si="2"/>
        <v>0</v>
      </c>
      <c r="Q50">
        <f t="shared" si="3"/>
        <v>0</v>
      </c>
      <c r="R50">
        <f t="shared" si="4"/>
        <v>0</v>
      </c>
      <c r="S50">
        <f t="shared" si="5"/>
        <v>3</v>
      </c>
      <c r="T50">
        <f t="shared" si="6"/>
        <v>3</v>
      </c>
      <c r="Y50" s="14">
        <v>0</v>
      </c>
      <c r="Z50">
        <f t="shared" si="7"/>
        <v>0</v>
      </c>
    </row>
    <row r="51" spans="1:26" ht="15" thickBot="1" x14ac:dyDescent="0.25">
      <c r="A51" s="4" t="s">
        <v>26</v>
      </c>
      <c r="B51" s="3">
        <v>0</v>
      </c>
      <c r="C51" s="3">
        <v>2</v>
      </c>
      <c r="D51" s="3">
        <v>0</v>
      </c>
      <c r="E51" s="3">
        <v>0</v>
      </c>
      <c r="F51" s="3">
        <v>0</v>
      </c>
      <c r="G51" s="3">
        <v>2</v>
      </c>
      <c r="M51" s="4" t="s">
        <v>26</v>
      </c>
      <c r="N51">
        <f t="shared" si="0"/>
        <v>0</v>
      </c>
      <c r="O51">
        <f t="shared" si="1"/>
        <v>2</v>
      </c>
      <c r="P51">
        <f t="shared" si="2"/>
        <v>0</v>
      </c>
      <c r="Q51">
        <f t="shared" si="3"/>
        <v>0</v>
      </c>
      <c r="R51">
        <f t="shared" si="4"/>
        <v>0</v>
      </c>
      <c r="S51">
        <f t="shared" si="5"/>
        <v>2</v>
      </c>
      <c r="T51">
        <f t="shared" si="6"/>
        <v>2</v>
      </c>
      <c r="Y51" s="14">
        <v>0</v>
      </c>
      <c r="Z51">
        <f t="shared" si="7"/>
        <v>0</v>
      </c>
    </row>
    <row r="52" spans="1:26" ht="15" thickBot="1" x14ac:dyDescent="0.25">
      <c r="A52" s="4" t="s">
        <v>48</v>
      </c>
      <c r="B52" s="3">
        <v>0</v>
      </c>
      <c r="C52" s="3">
        <v>2</v>
      </c>
      <c r="D52" s="3">
        <v>0</v>
      </c>
      <c r="E52" s="3">
        <v>0</v>
      </c>
      <c r="F52" s="3">
        <v>0</v>
      </c>
      <c r="G52" s="3">
        <v>2</v>
      </c>
      <c r="M52" s="4" t="s">
        <v>48</v>
      </c>
      <c r="N52">
        <f t="shared" si="0"/>
        <v>0</v>
      </c>
      <c r="O52">
        <f t="shared" si="1"/>
        <v>2</v>
      </c>
      <c r="P52">
        <f t="shared" si="2"/>
        <v>0</v>
      </c>
      <c r="Q52">
        <f t="shared" si="3"/>
        <v>0</v>
      </c>
      <c r="R52">
        <f t="shared" si="4"/>
        <v>0</v>
      </c>
      <c r="S52">
        <f t="shared" si="5"/>
        <v>2</v>
      </c>
      <c r="T52">
        <f t="shared" si="6"/>
        <v>2</v>
      </c>
      <c r="Y52" s="14">
        <v>0</v>
      </c>
      <c r="Z52">
        <f t="shared" si="7"/>
        <v>0</v>
      </c>
    </row>
    <row r="53" spans="1:26" ht="15" thickBot="1" x14ac:dyDescent="0.25">
      <c r="A53" s="4" t="s">
        <v>46</v>
      </c>
      <c r="B53" s="3">
        <v>0</v>
      </c>
      <c r="C53" s="3">
        <v>1</v>
      </c>
      <c r="D53" s="3">
        <v>0</v>
      </c>
      <c r="E53" s="3">
        <v>0</v>
      </c>
      <c r="F53" s="3">
        <v>0</v>
      </c>
      <c r="G53" s="3">
        <v>1</v>
      </c>
      <c r="M53" s="4" t="s">
        <v>46</v>
      </c>
      <c r="N53">
        <f t="shared" si="0"/>
        <v>0</v>
      </c>
      <c r="O53">
        <f t="shared" si="1"/>
        <v>1</v>
      </c>
      <c r="P53">
        <f t="shared" si="2"/>
        <v>0</v>
      </c>
      <c r="Q53">
        <f t="shared" si="3"/>
        <v>0</v>
      </c>
      <c r="R53">
        <f t="shared" si="4"/>
        <v>0</v>
      </c>
      <c r="S53">
        <f t="shared" si="5"/>
        <v>1</v>
      </c>
      <c r="T53">
        <f t="shared" si="6"/>
        <v>1</v>
      </c>
      <c r="Y53" s="14">
        <v>0</v>
      </c>
      <c r="Z53">
        <f t="shared" si="7"/>
        <v>0</v>
      </c>
    </row>
    <row r="54" spans="1:26" ht="15" thickBot="1" x14ac:dyDescent="0.25">
      <c r="A54" s="4" t="s">
        <v>50</v>
      </c>
      <c r="B54" s="3">
        <v>0</v>
      </c>
      <c r="C54" s="3">
        <v>1</v>
      </c>
      <c r="D54" s="3">
        <v>0</v>
      </c>
      <c r="E54" s="3">
        <v>0</v>
      </c>
      <c r="F54" s="3">
        <v>0</v>
      </c>
      <c r="G54" s="3">
        <v>1</v>
      </c>
      <c r="M54" s="4" t="s">
        <v>50</v>
      </c>
      <c r="N54">
        <f t="shared" si="0"/>
        <v>0</v>
      </c>
      <c r="O54">
        <f t="shared" si="1"/>
        <v>1</v>
      </c>
      <c r="P54">
        <f t="shared" si="2"/>
        <v>0</v>
      </c>
      <c r="Q54">
        <f t="shared" si="3"/>
        <v>0</v>
      </c>
      <c r="R54">
        <f t="shared" si="4"/>
        <v>0</v>
      </c>
      <c r="S54">
        <f t="shared" si="5"/>
        <v>1</v>
      </c>
      <c r="T54">
        <f t="shared" si="6"/>
        <v>1</v>
      </c>
      <c r="Y54" s="14">
        <v>0</v>
      </c>
      <c r="Z54">
        <f t="shared" si="7"/>
        <v>0</v>
      </c>
    </row>
    <row r="55" spans="1:26" ht="15" thickBot="1" x14ac:dyDescent="0.25">
      <c r="A55" s="4" t="s">
        <v>29</v>
      </c>
      <c r="B55" s="3">
        <v>1</v>
      </c>
      <c r="C55" s="3">
        <v>0</v>
      </c>
      <c r="D55" s="3">
        <v>0</v>
      </c>
      <c r="E55" s="3">
        <v>0</v>
      </c>
      <c r="F55" s="3">
        <v>0</v>
      </c>
      <c r="G55" s="3">
        <v>1</v>
      </c>
      <c r="M55" s="4" t="s">
        <v>29</v>
      </c>
      <c r="N55">
        <f t="shared" si="0"/>
        <v>0.5</v>
      </c>
      <c r="O55">
        <f t="shared" si="1"/>
        <v>0</v>
      </c>
      <c r="P55">
        <f t="shared" si="2"/>
        <v>0</v>
      </c>
      <c r="Q55">
        <f t="shared" si="3"/>
        <v>0</v>
      </c>
      <c r="R55">
        <f t="shared" si="4"/>
        <v>0</v>
      </c>
      <c r="S55">
        <f t="shared" si="5"/>
        <v>0.5</v>
      </c>
      <c r="T55">
        <f t="shared" si="6"/>
        <v>1</v>
      </c>
      <c r="Y55" s="14">
        <v>0</v>
      </c>
      <c r="Z55">
        <f t="shared" si="7"/>
        <v>0</v>
      </c>
    </row>
    <row r="56" spans="1:26" ht="15" thickBot="1" x14ac:dyDescent="0.25">
      <c r="A56" s="4" t="s">
        <v>52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  <c r="G56" s="3">
        <v>1</v>
      </c>
      <c r="M56" s="4" t="s">
        <v>52</v>
      </c>
      <c r="N56">
        <f t="shared" si="0"/>
        <v>0</v>
      </c>
      <c r="O56">
        <f t="shared" si="1"/>
        <v>1</v>
      </c>
      <c r="P56">
        <f t="shared" si="2"/>
        <v>0</v>
      </c>
      <c r="Q56">
        <f t="shared" si="3"/>
        <v>0</v>
      </c>
      <c r="R56">
        <f t="shared" si="4"/>
        <v>0</v>
      </c>
      <c r="S56">
        <f t="shared" si="5"/>
        <v>1</v>
      </c>
      <c r="T56">
        <f t="shared" si="6"/>
        <v>1</v>
      </c>
      <c r="Y56" s="14">
        <v>0</v>
      </c>
      <c r="Z56">
        <f t="shared" si="7"/>
        <v>0</v>
      </c>
    </row>
    <row r="57" spans="1:26" ht="14.25" x14ac:dyDescent="0.2">
      <c r="A57" s="4" t="s">
        <v>31</v>
      </c>
      <c r="B57" s="3">
        <v>0</v>
      </c>
      <c r="C57" s="3">
        <v>1</v>
      </c>
      <c r="D57" s="3">
        <v>0</v>
      </c>
      <c r="E57" s="3">
        <v>0</v>
      </c>
      <c r="F57" s="3">
        <v>0</v>
      </c>
      <c r="G57" s="3">
        <v>1</v>
      </c>
      <c r="M57" s="4" t="s">
        <v>31</v>
      </c>
      <c r="N57">
        <f t="shared" si="0"/>
        <v>0</v>
      </c>
      <c r="O57">
        <f t="shared" si="1"/>
        <v>1</v>
      </c>
      <c r="P57">
        <f t="shared" si="2"/>
        <v>0</v>
      </c>
      <c r="Q57">
        <f t="shared" si="3"/>
        <v>0</v>
      </c>
      <c r="R57">
        <f t="shared" si="4"/>
        <v>0</v>
      </c>
      <c r="S57">
        <f t="shared" si="5"/>
        <v>1</v>
      </c>
      <c r="T57">
        <f t="shared" si="6"/>
        <v>1</v>
      </c>
    </row>
    <row r="58" spans="1:26" ht="14.25" x14ac:dyDescent="0.2">
      <c r="A58" s="4" t="s">
        <v>41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M58" s="4" t="s">
        <v>41</v>
      </c>
      <c r="N58">
        <f t="shared" si="0"/>
        <v>0</v>
      </c>
      <c r="O58">
        <f t="shared" si="1"/>
        <v>0</v>
      </c>
      <c r="P58">
        <f t="shared" si="2"/>
        <v>0</v>
      </c>
      <c r="Q58">
        <f t="shared" si="3"/>
        <v>0</v>
      </c>
      <c r="R58">
        <f t="shared" si="4"/>
        <v>0</v>
      </c>
      <c r="S58">
        <f t="shared" si="5"/>
        <v>0</v>
      </c>
      <c r="T58">
        <f t="shared" si="6"/>
        <v>0</v>
      </c>
    </row>
    <row r="59" spans="1:26" ht="14.25" x14ac:dyDescent="0.2">
      <c r="A59" s="4" t="s">
        <v>28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M59" s="4" t="s">
        <v>28</v>
      </c>
      <c r="N59">
        <f t="shared" si="0"/>
        <v>0</v>
      </c>
      <c r="O59">
        <f t="shared" si="1"/>
        <v>0</v>
      </c>
      <c r="P59">
        <f t="shared" si="2"/>
        <v>0</v>
      </c>
      <c r="Q59">
        <f t="shared" si="3"/>
        <v>0</v>
      </c>
      <c r="R59">
        <f t="shared" si="4"/>
        <v>0</v>
      </c>
      <c r="S59">
        <f t="shared" si="5"/>
        <v>0</v>
      </c>
      <c r="T59">
        <f t="shared" si="6"/>
        <v>0</v>
      </c>
    </row>
    <row r="60" spans="1:26" ht="14.25" x14ac:dyDescent="0.2">
      <c r="A60" s="4" t="s">
        <v>39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M60" s="4" t="s">
        <v>39</v>
      </c>
      <c r="N60">
        <f t="shared" si="0"/>
        <v>0</v>
      </c>
      <c r="O60">
        <f t="shared" si="1"/>
        <v>0</v>
      </c>
      <c r="P60">
        <f t="shared" si="2"/>
        <v>0</v>
      </c>
      <c r="Q60">
        <f t="shared" si="3"/>
        <v>0</v>
      </c>
      <c r="R60">
        <f t="shared" si="4"/>
        <v>0</v>
      </c>
      <c r="S60">
        <f t="shared" si="5"/>
        <v>0</v>
      </c>
      <c r="T60">
        <f t="shared" si="6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>
      <selection activeCell="B1" sqref="B1:C58"/>
    </sheetView>
  </sheetViews>
  <sheetFormatPr defaultRowHeight="12.75" x14ac:dyDescent="0.2"/>
  <cols>
    <col min="1" max="1" width="32" bestFit="1" customWidth="1"/>
    <col min="2" max="2" width="11.7109375" customWidth="1"/>
  </cols>
  <sheetData>
    <row r="1" spans="1:3" ht="14.25" x14ac:dyDescent="0.2">
      <c r="A1" s="4"/>
      <c r="B1" s="4" t="s">
        <v>247</v>
      </c>
      <c r="C1" s="4" t="s">
        <v>248</v>
      </c>
    </row>
    <row r="2" spans="1:3" ht="14.25" x14ac:dyDescent="0.2">
      <c r="A2" s="4" t="s">
        <v>1</v>
      </c>
      <c r="B2" s="9">
        <v>59.4</v>
      </c>
      <c r="C2">
        <v>0.6</v>
      </c>
    </row>
    <row r="3" spans="1:3" ht="14.25" x14ac:dyDescent="0.2">
      <c r="A3" s="4" t="s">
        <v>3</v>
      </c>
      <c r="B3" s="9">
        <v>20.2</v>
      </c>
      <c r="C3">
        <v>0.2</v>
      </c>
    </row>
    <row r="4" spans="1:3" ht="14.25" x14ac:dyDescent="0.2">
      <c r="A4" s="4" t="s">
        <v>16</v>
      </c>
      <c r="B4" s="9">
        <v>16</v>
      </c>
      <c r="C4">
        <v>0.2</v>
      </c>
    </row>
    <row r="5" spans="1:3" ht="14.25" x14ac:dyDescent="0.2">
      <c r="A5" s="4" t="s">
        <v>17</v>
      </c>
      <c r="B5" s="9">
        <v>12.5</v>
      </c>
      <c r="C5">
        <v>0.1</v>
      </c>
    </row>
    <row r="6" spans="1:3" ht="14.25" x14ac:dyDescent="0.2">
      <c r="A6" s="4" t="s">
        <v>53</v>
      </c>
      <c r="B6" s="9">
        <v>12.4</v>
      </c>
      <c r="C6">
        <v>0.1</v>
      </c>
    </row>
    <row r="7" spans="1:3" ht="14.25" x14ac:dyDescent="0.2">
      <c r="A7" s="4" t="s">
        <v>0</v>
      </c>
      <c r="B7" s="9">
        <v>12</v>
      </c>
      <c r="C7">
        <v>0.1</v>
      </c>
    </row>
    <row r="8" spans="1:3" ht="14.25" x14ac:dyDescent="0.2">
      <c r="A8" s="4" t="s">
        <v>20</v>
      </c>
      <c r="B8" s="9">
        <v>9.6999999999999993</v>
      </c>
      <c r="C8">
        <v>0.1</v>
      </c>
    </row>
    <row r="9" spans="1:3" ht="14.25" x14ac:dyDescent="0.2">
      <c r="A9" s="4" t="s">
        <v>42</v>
      </c>
      <c r="B9" s="9">
        <v>7.2</v>
      </c>
      <c r="C9">
        <v>0.1</v>
      </c>
    </row>
    <row r="10" spans="1:3" ht="14.25" x14ac:dyDescent="0.2">
      <c r="A10" s="4" t="s">
        <v>2</v>
      </c>
      <c r="B10" s="9">
        <v>6.4</v>
      </c>
      <c r="C10">
        <v>0.1</v>
      </c>
    </row>
    <row r="11" spans="1:3" ht="14.25" x14ac:dyDescent="0.2">
      <c r="A11" s="4" t="s">
        <v>7</v>
      </c>
      <c r="B11" s="9">
        <v>5.7</v>
      </c>
      <c r="C11">
        <v>0.1</v>
      </c>
    </row>
    <row r="12" spans="1:3" ht="14.25" x14ac:dyDescent="0.2">
      <c r="A12" s="4" t="s">
        <v>11</v>
      </c>
      <c r="B12" s="9">
        <v>3.2</v>
      </c>
      <c r="C12">
        <v>0</v>
      </c>
    </row>
    <row r="13" spans="1:3" ht="14.25" x14ac:dyDescent="0.2">
      <c r="A13" s="4" t="s">
        <v>33</v>
      </c>
      <c r="B13" s="9">
        <v>2.9</v>
      </c>
      <c r="C13">
        <v>0</v>
      </c>
    </row>
    <row r="14" spans="1:3" ht="14.25" x14ac:dyDescent="0.2">
      <c r="A14" s="4" t="s">
        <v>6</v>
      </c>
      <c r="B14" s="9">
        <v>1.7</v>
      </c>
      <c r="C14">
        <v>0</v>
      </c>
    </row>
    <row r="15" spans="1:3" ht="14.25" x14ac:dyDescent="0.2">
      <c r="A15" s="4" t="s">
        <v>12</v>
      </c>
      <c r="B15" s="9">
        <v>1.6</v>
      </c>
      <c r="C15">
        <v>0</v>
      </c>
    </row>
    <row r="16" spans="1:3" ht="14.25" x14ac:dyDescent="0.2">
      <c r="A16" s="4" t="s">
        <v>13</v>
      </c>
      <c r="B16" s="9">
        <v>1.6</v>
      </c>
      <c r="C16">
        <v>0</v>
      </c>
    </row>
    <row r="17" spans="1:3" ht="14.25" x14ac:dyDescent="0.2">
      <c r="A17" s="4" t="s">
        <v>19</v>
      </c>
      <c r="B17" s="9">
        <v>1.5</v>
      </c>
      <c r="C17">
        <v>0</v>
      </c>
    </row>
    <row r="18" spans="1:3" ht="14.25" x14ac:dyDescent="0.2">
      <c r="A18" s="4" t="s">
        <v>15</v>
      </c>
      <c r="B18" s="9">
        <v>1.4</v>
      </c>
      <c r="C18">
        <v>0</v>
      </c>
    </row>
    <row r="19" spans="1:3" ht="14.25" x14ac:dyDescent="0.2">
      <c r="A19" s="4" t="s">
        <v>22</v>
      </c>
      <c r="B19" s="9">
        <v>1.4</v>
      </c>
      <c r="C19">
        <v>0</v>
      </c>
    </row>
    <row r="20" spans="1:3" ht="14.25" x14ac:dyDescent="0.2">
      <c r="A20" s="4" t="s">
        <v>32</v>
      </c>
      <c r="B20" s="9">
        <v>1.3</v>
      </c>
      <c r="C20">
        <v>0</v>
      </c>
    </row>
    <row r="21" spans="1:3" ht="14.25" x14ac:dyDescent="0.2">
      <c r="A21" s="4" t="s">
        <v>24</v>
      </c>
      <c r="B21" s="9">
        <v>1.2</v>
      </c>
      <c r="C21">
        <v>0</v>
      </c>
    </row>
    <row r="22" spans="1:3" ht="14.25" x14ac:dyDescent="0.2">
      <c r="A22" s="4" t="s">
        <v>25</v>
      </c>
      <c r="B22" s="9">
        <v>1.2</v>
      </c>
      <c r="C22">
        <v>0</v>
      </c>
    </row>
    <row r="23" spans="1:3" ht="14.25" x14ac:dyDescent="0.2">
      <c r="A23" s="4" t="s">
        <v>21</v>
      </c>
      <c r="B23" s="9">
        <v>1.1000000000000001</v>
      </c>
      <c r="C23">
        <v>0</v>
      </c>
    </row>
    <row r="24" spans="1:3" ht="14.25" x14ac:dyDescent="0.2">
      <c r="A24" s="4" t="s">
        <v>5</v>
      </c>
      <c r="B24" s="9">
        <v>1</v>
      </c>
      <c r="C24">
        <v>0</v>
      </c>
    </row>
    <row r="25" spans="1:3" ht="14.25" x14ac:dyDescent="0.2">
      <c r="A25" s="4" t="s">
        <v>54</v>
      </c>
      <c r="B25" s="9">
        <v>0.9</v>
      </c>
      <c r="C25">
        <v>0</v>
      </c>
    </row>
    <row r="26" spans="1:3" ht="14.25" x14ac:dyDescent="0.2">
      <c r="A26" s="4" t="s">
        <v>18</v>
      </c>
      <c r="B26" s="9">
        <v>0.8</v>
      </c>
      <c r="C26">
        <v>0</v>
      </c>
    </row>
    <row r="27" spans="1:3" ht="14.25" x14ac:dyDescent="0.2">
      <c r="A27" s="4" t="s">
        <v>4</v>
      </c>
      <c r="B27" s="9">
        <v>0.8</v>
      </c>
      <c r="C27">
        <v>0</v>
      </c>
    </row>
    <row r="28" spans="1:3" ht="14.25" x14ac:dyDescent="0.2">
      <c r="A28" s="4" t="s">
        <v>47</v>
      </c>
      <c r="B28" s="9">
        <v>0.7</v>
      </c>
      <c r="C28">
        <v>0</v>
      </c>
    </row>
    <row r="29" spans="1:3" ht="14.25" x14ac:dyDescent="0.2">
      <c r="A29" s="4" t="s">
        <v>40</v>
      </c>
      <c r="B29" s="9">
        <v>0.6</v>
      </c>
      <c r="C29">
        <v>0</v>
      </c>
    </row>
    <row r="30" spans="1:3" ht="14.25" x14ac:dyDescent="0.2">
      <c r="A30" s="4" t="s">
        <v>23</v>
      </c>
      <c r="B30" s="9">
        <v>0.5</v>
      </c>
      <c r="C30">
        <v>0</v>
      </c>
    </row>
    <row r="31" spans="1:3" ht="14.25" x14ac:dyDescent="0.2">
      <c r="A31" s="4" t="s">
        <v>37</v>
      </c>
      <c r="B31" s="9">
        <v>0.5</v>
      </c>
      <c r="C31">
        <v>0</v>
      </c>
    </row>
    <row r="32" spans="1:3" ht="14.25" x14ac:dyDescent="0.2">
      <c r="A32" s="4" t="s">
        <v>10</v>
      </c>
      <c r="B32" s="9">
        <v>0.4</v>
      </c>
      <c r="C32">
        <v>0</v>
      </c>
    </row>
    <row r="33" spans="1:3" ht="14.25" x14ac:dyDescent="0.2">
      <c r="A33" s="4" t="s">
        <v>14</v>
      </c>
      <c r="B33" s="9">
        <v>0.4</v>
      </c>
      <c r="C33">
        <v>0</v>
      </c>
    </row>
    <row r="34" spans="1:3" ht="14.25" x14ac:dyDescent="0.2">
      <c r="A34" s="4" t="s">
        <v>34</v>
      </c>
      <c r="B34" s="9">
        <v>0.4</v>
      </c>
      <c r="C34">
        <v>0</v>
      </c>
    </row>
    <row r="35" spans="1:3" ht="14.25" x14ac:dyDescent="0.2">
      <c r="A35" s="4" t="s">
        <v>45</v>
      </c>
      <c r="B35" s="9">
        <v>0.4</v>
      </c>
      <c r="C35">
        <v>0</v>
      </c>
    </row>
    <row r="36" spans="1:3" ht="14.25" x14ac:dyDescent="0.2">
      <c r="A36" s="4" t="s">
        <v>27</v>
      </c>
      <c r="B36" s="9">
        <v>0.3</v>
      </c>
      <c r="C36">
        <v>0</v>
      </c>
    </row>
    <row r="37" spans="1:3" ht="14.25" x14ac:dyDescent="0.2">
      <c r="A37" s="4" t="s">
        <v>44</v>
      </c>
      <c r="B37" s="9">
        <v>0.3</v>
      </c>
      <c r="C37">
        <v>0</v>
      </c>
    </row>
    <row r="38" spans="1:3" ht="14.25" x14ac:dyDescent="0.2">
      <c r="A38" s="4" t="s">
        <v>30</v>
      </c>
      <c r="B38" s="9">
        <v>0.3</v>
      </c>
      <c r="C38">
        <v>0</v>
      </c>
    </row>
    <row r="39" spans="1:3" ht="14.25" x14ac:dyDescent="0.2">
      <c r="A39" s="4" t="s">
        <v>9</v>
      </c>
      <c r="B39" s="9">
        <v>0.3</v>
      </c>
      <c r="C39">
        <v>0</v>
      </c>
    </row>
    <row r="40" spans="1:3" ht="14.25" x14ac:dyDescent="0.2">
      <c r="A40" s="4" t="s">
        <v>8</v>
      </c>
      <c r="B40" s="9">
        <v>0.2</v>
      </c>
      <c r="C40">
        <v>0</v>
      </c>
    </row>
    <row r="41" spans="1:3" ht="14.25" x14ac:dyDescent="0.2">
      <c r="A41" s="4" t="s">
        <v>51</v>
      </c>
      <c r="B41" s="9">
        <v>0.2</v>
      </c>
      <c r="C41">
        <v>0</v>
      </c>
    </row>
    <row r="42" spans="1:3" ht="14.25" x14ac:dyDescent="0.2">
      <c r="A42" s="4" t="s">
        <v>36</v>
      </c>
      <c r="B42" s="9">
        <v>0.2</v>
      </c>
      <c r="C42">
        <v>0</v>
      </c>
    </row>
    <row r="43" spans="1:3" ht="14.25" x14ac:dyDescent="0.2">
      <c r="A43" s="4" t="s">
        <v>43</v>
      </c>
      <c r="B43" s="9">
        <v>0.2</v>
      </c>
      <c r="C43">
        <v>0</v>
      </c>
    </row>
    <row r="44" spans="1:3" ht="14.25" x14ac:dyDescent="0.2">
      <c r="A44" s="4" t="s">
        <v>38</v>
      </c>
      <c r="B44" s="9">
        <v>0.1</v>
      </c>
      <c r="C44">
        <v>0</v>
      </c>
    </row>
    <row r="45" spans="1:3" ht="14.25" x14ac:dyDescent="0.2">
      <c r="A45" s="4" t="s">
        <v>49</v>
      </c>
      <c r="B45" s="9">
        <v>0.1</v>
      </c>
      <c r="C45">
        <v>0</v>
      </c>
    </row>
    <row r="46" spans="1:3" ht="14.25" x14ac:dyDescent="0.2">
      <c r="A46" s="4" t="s">
        <v>56</v>
      </c>
      <c r="B46" s="9">
        <v>0.1</v>
      </c>
      <c r="C46">
        <v>0</v>
      </c>
    </row>
    <row r="47" spans="1:3" ht="14.25" x14ac:dyDescent="0.2">
      <c r="A47" s="4" t="s">
        <v>35</v>
      </c>
      <c r="B47" s="9">
        <v>0.1</v>
      </c>
      <c r="C47">
        <v>0</v>
      </c>
    </row>
    <row r="48" spans="1:3" ht="14.25" x14ac:dyDescent="0.2">
      <c r="A48" s="4" t="s">
        <v>55</v>
      </c>
      <c r="B48" s="9">
        <v>0.1</v>
      </c>
      <c r="C48">
        <v>0</v>
      </c>
    </row>
    <row r="49" spans="1:3" ht="14.25" x14ac:dyDescent="0.2">
      <c r="A49" s="4" t="s">
        <v>26</v>
      </c>
      <c r="B49" s="9">
        <v>0.1</v>
      </c>
      <c r="C49">
        <v>0</v>
      </c>
    </row>
    <row r="50" spans="1:3" ht="14.25" x14ac:dyDescent="0.2">
      <c r="A50" s="4" t="s">
        <v>46</v>
      </c>
      <c r="B50" s="9">
        <v>0</v>
      </c>
      <c r="C50">
        <v>0</v>
      </c>
    </row>
    <row r="51" spans="1:3" ht="14.25" x14ac:dyDescent="0.2">
      <c r="A51" s="4" t="s">
        <v>48</v>
      </c>
      <c r="B51" s="9">
        <v>0</v>
      </c>
      <c r="C51">
        <v>0</v>
      </c>
    </row>
    <row r="52" spans="1:3" ht="14.25" x14ac:dyDescent="0.2">
      <c r="A52" s="4" t="s">
        <v>31</v>
      </c>
      <c r="B52" s="9">
        <v>0</v>
      </c>
      <c r="C52">
        <v>0</v>
      </c>
    </row>
    <row r="53" spans="1:3" ht="14.25" x14ac:dyDescent="0.2">
      <c r="A53" s="4" t="s">
        <v>50</v>
      </c>
      <c r="B53" s="9">
        <v>0</v>
      </c>
      <c r="C53">
        <v>0</v>
      </c>
    </row>
    <row r="54" spans="1:3" ht="14.25" x14ac:dyDescent="0.2">
      <c r="A54" s="4" t="s">
        <v>52</v>
      </c>
      <c r="B54" s="9">
        <v>0</v>
      </c>
      <c r="C54">
        <v>0</v>
      </c>
    </row>
    <row r="55" spans="1:3" ht="14.25" x14ac:dyDescent="0.2">
      <c r="A55" s="4" t="s">
        <v>29</v>
      </c>
      <c r="B55" s="9">
        <v>0</v>
      </c>
      <c r="C55">
        <v>0</v>
      </c>
    </row>
    <row r="56" spans="1:3" ht="14.25" x14ac:dyDescent="0.2">
      <c r="A56" s="4" t="s">
        <v>28</v>
      </c>
      <c r="B56" s="9">
        <v>0</v>
      </c>
      <c r="C56">
        <v>0</v>
      </c>
    </row>
    <row r="57" spans="1:3" ht="14.25" x14ac:dyDescent="0.2">
      <c r="A57" s="4" t="s">
        <v>39</v>
      </c>
      <c r="B57" s="9">
        <v>0</v>
      </c>
      <c r="C57">
        <v>0</v>
      </c>
    </row>
    <row r="58" spans="1:3" ht="14.25" x14ac:dyDescent="0.2">
      <c r="A58" s="4" t="s">
        <v>41</v>
      </c>
      <c r="B58" s="9">
        <v>0</v>
      </c>
      <c r="C5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topLeftCell="B1" workbookViewId="0">
      <selection activeCell="L1" sqref="L1:M57"/>
    </sheetView>
  </sheetViews>
  <sheetFormatPr defaultRowHeight="12.75" x14ac:dyDescent="0.2"/>
  <cols>
    <col min="1" max="1" width="44.140625" bestFit="1" customWidth="1"/>
    <col min="2" max="2" width="37.140625" bestFit="1" customWidth="1"/>
    <col min="3" max="3" width="9.140625" style="6"/>
    <col min="11" max="11" width="44.140625" bestFit="1" customWidth="1"/>
    <col min="12" max="12" width="37.140625" bestFit="1" customWidth="1"/>
  </cols>
  <sheetData>
    <row r="1" spans="1:13" x14ac:dyDescent="0.2">
      <c r="A1" s="8" t="s">
        <v>194</v>
      </c>
      <c r="B1" s="1" t="s">
        <v>104</v>
      </c>
      <c r="C1" s="6" t="str">
        <f>RIGHT(A1,3)</f>
        <v>383</v>
      </c>
      <c r="E1" s="8" t="s">
        <v>194</v>
      </c>
      <c r="K1" s="8" t="s">
        <v>249</v>
      </c>
      <c r="L1" t="str">
        <f>LEFT(K1, LEN(K1)-3)</f>
        <v xml:space="preserve">Amlodipine 10mg_Early                  </v>
      </c>
      <c r="M1" t="str">
        <f t="shared" ref="M1:M32" si="0">RIGHT(K1,3)</f>
        <v>456</v>
      </c>
    </row>
    <row r="2" spans="1:13" x14ac:dyDescent="0.2">
      <c r="A2" s="8" t="s">
        <v>59</v>
      </c>
      <c r="B2" s="1" t="s">
        <v>105</v>
      </c>
      <c r="C2" s="6" t="str">
        <f t="shared" ref="C2:C57" si="1">RIGHT(A2,3)</f>
        <v>204</v>
      </c>
      <c r="E2" s="8" t="s">
        <v>59</v>
      </c>
      <c r="K2" s="8" t="s">
        <v>250</v>
      </c>
      <c r="L2" t="str">
        <f t="shared" ref="L2:L58" si="2">LEFT(K2, LEN(K2)-3)</f>
        <v xml:space="preserve">Losartan 50mg_Early                    </v>
      </c>
      <c r="M2" t="str">
        <f t="shared" si="0"/>
        <v>119</v>
      </c>
    </row>
    <row r="3" spans="1:13" x14ac:dyDescent="0.2">
      <c r="A3" s="8" t="s">
        <v>60</v>
      </c>
      <c r="B3" s="1" t="s">
        <v>108</v>
      </c>
      <c r="C3" s="6" t="str">
        <f t="shared" si="1"/>
        <v xml:space="preserve"> 92</v>
      </c>
      <c r="E3" s="8" t="s">
        <v>60</v>
      </c>
      <c r="K3" s="8" t="s">
        <v>251</v>
      </c>
      <c r="L3" t="str">
        <f t="shared" si="2"/>
        <v xml:space="preserve">Lisinopril 10mg_Early                  </v>
      </c>
      <c r="M3" t="str">
        <f t="shared" si="0"/>
        <v>102</v>
      </c>
    </row>
    <row r="4" spans="1:13" x14ac:dyDescent="0.2">
      <c r="A4" s="8" t="s">
        <v>195</v>
      </c>
      <c r="B4" s="1" t="s">
        <v>106</v>
      </c>
      <c r="C4" s="6" t="str">
        <f t="shared" si="1"/>
        <v xml:space="preserve"> 83</v>
      </c>
      <c r="E4" s="8" t="s">
        <v>195</v>
      </c>
      <c r="K4" s="8" t="s">
        <v>61</v>
      </c>
      <c r="L4" t="str">
        <f t="shared" si="2"/>
        <v xml:space="preserve">Indapamide 1.5mg_Early                 </v>
      </c>
      <c r="M4" t="str">
        <f t="shared" si="0"/>
        <v xml:space="preserve"> 82</v>
      </c>
    </row>
    <row r="5" spans="1:13" x14ac:dyDescent="0.2">
      <c r="A5" s="8" t="s">
        <v>61</v>
      </c>
      <c r="B5" s="1" t="s">
        <v>110</v>
      </c>
      <c r="C5" s="6" t="str">
        <f t="shared" si="1"/>
        <v xml:space="preserve"> 82</v>
      </c>
      <c r="E5" s="8" t="s">
        <v>196</v>
      </c>
      <c r="K5" s="8" t="s">
        <v>197</v>
      </c>
      <c r="L5" t="str">
        <f t="shared" si="2"/>
        <v xml:space="preserve">Bendroflumethiazide 2.5mg_Early        </v>
      </c>
      <c r="M5" t="str">
        <f t="shared" si="0"/>
        <v xml:space="preserve"> 68</v>
      </c>
    </row>
    <row r="6" spans="1:13" x14ac:dyDescent="0.2">
      <c r="A6" s="8" t="s">
        <v>196</v>
      </c>
      <c r="B6" s="1" t="s">
        <v>107</v>
      </c>
      <c r="C6" s="6" t="str">
        <f t="shared" si="1"/>
        <v xml:space="preserve"> 82</v>
      </c>
      <c r="E6" s="8" t="s">
        <v>61</v>
      </c>
      <c r="K6" s="8" t="s">
        <v>252</v>
      </c>
      <c r="L6" t="str">
        <f t="shared" si="2"/>
        <v xml:space="preserve">Bisoprolol 2.5mg_Early                 </v>
      </c>
      <c r="M6" t="str">
        <f t="shared" si="0"/>
        <v xml:space="preserve"> 67</v>
      </c>
    </row>
    <row r="7" spans="1:13" x14ac:dyDescent="0.2">
      <c r="A7" s="8" t="s">
        <v>197</v>
      </c>
      <c r="B7" s="1" t="s">
        <v>109</v>
      </c>
      <c r="C7" s="6" t="str">
        <f t="shared" si="1"/>
        <v xml:space="preserve"> 68</v>
      </c>
      <c r="E7" s="8" t="s">
        <v>197</v>
      </c>
      <c r="K7" s="8" t="s">
        <v>253</v>
      </c>
      <c r="L7" t="str">
        <f t="shared" si="2"/>
        <v xml:space="preserve">Amlodipine 5mg_Early                   </v>
      </c>
      <c r="M7" t="str">
        <f t="shared" si="0"/>
        <v xml:space="preserve"> 51</v>
      </c>
    </row>
    <row r="8" spans="1:13" x14ac:dyDescent="0.2">
      <c r="A8" s="8" t="s">
        <v>62</v>
      </c>
      <c r="B8" s="1" t="s">
        <v>112</v>
      </c>
      <c r="C8" s="6" t="str">
        <f t="shared" si="1"/>
        <v xml:space="preserve"> 32</v>
      </c>
      <c r="E8" s="8" t="s">
        <v>62</v>
      </c>
      <c r="K8" s="8" t="s">
        <v>254</v>
      </c>
      <c r="L8" t="str">
        <f t="shared" si="2"/>
        <v xml:space="preserve">Losartan 100mg_Early                   </v>
      </c>
      <c r="M8" t="str">
        <f t="shared" si="0"/>
        <v xml:space="preserve"> 39</v>
      </c>
    </row>
    <row r="9" spans="1:13" x14ac:dyDescent="0.2">
      <c r="A9" s="8" t="s">
        <v>198</v>
      </c>
      <c r="B9" s="1" t="s">
        <v>111</v>
      </c>
      <c r="C9" s="6" t="str">
        <f t="shared" si="1"/>
        <v xml:space="preserve"> 30</v>
      </c>
      <c r="E9" s="8" t="s">
        <v>198</v>
      </c>
      <c r="K9" s="8" t="s">
        <v>62</v>
      </c>
      <c r="L9" t="str">
        <f t="shared" si="2"/>
        <v xml:space="preserve">Normoretic_Early                       </v>
      </c>
      <c r="M9" t="str">
        <f t="shared" si="0"/>
        <v xml:space="preserve"> 32</v>
      </c>
    </row>
    <row r="10" spans="1:13" x14ac:dyDescent="0.2">
      <c r="A10" s="8" t="s">
        <v>63</v>
      </c>
      <c r="B10" s="1" t="s">
        <v>113</v>
      </c>
      <c r="C10" s="6" t="str">
        <f t="shared" si="1"/>
        <v xml:space="preserve"> 22</v>
      </c>
      <c r="E10" s="8" t="s">
        <v>63</v>
      </c>
      <c r="K10" s="8" t="s">
        <v>63</v>
      </c>
      <c r="L10" t="str">
        <f t="shared" si="2"/>
        <v xml:space="preserve">Spirinolactone_Early                   </v>
      </c>
      <c r="M10" t="str">
        <f t="shared" si="0"/>
        <v xml:space="preserve"> 22</v>
      </c>
    </row>
    <row r="11" spans="1:13" x14ac:dyDescent="0.2">
      <c r="A11" s="8" t="s">
        <v>64</v>
      </c>
      <c r="B11" s="1" t="s">
        <v>114</v>
      </c>
      <c r="C11" s="6" t="str">
        <f t="shared" si="1"/>
        <v xml:space="preserve"> 20</v>
      </c>
      <c r="E11" s="8" t="s">
        <v>64</v>
      </c>
      <c r="K11" s="8" t="s">
        <v>255</v>
      </c>
      <c r="L11" t="str">
        <f t="shared" si="2"/>
        <v xml:space="preserve">Lisinopril 5mg_Early                   </v>
      </c>
      <c r="M11" t="str">
        <f t="shared" si="0"/>
        <v xml:space="preserve"> 22</v>
      </c>
    </row>
    <row r="12" spans="1:13" x14ac:dyDescent="0.2">
      <c r="A12" s="8" t="s">
        <v>65</v>
      </c>
      <c r="B12" s="1" t="s">
        <v>115</v>
      </c>
      <c r="C12" s="6" t="str">
        <f t="shared" si="1"/>
        <v xml:space="preserve"> 15</v>
      </c>
      <c r="E12" s="8" t="s">
        <v>65</v>
      </c>
      <c r="K12" s="8" t="s">
        <v>64</v>
      </c>
      <c r="L12" t="str">
        <f t="shared" si="2"/>
        <v xml:space="preserve">Telmisartan 80mg_Early                 </v>
      </c>
      <c r="M12" t="str">
        <f t="shared" si="0"/>
        <v xml:space="preserve"> 20</v>
      </c>
    </row>
    <row r="13" spans="1:13" x14ac:dyDescent="0.2">
      <c r="A13" s="8" t="s">
        <v>66</v>
      </c>
      <c r="B13" s="1" t="s">
        <v>116</v>
      </c>
      <c r="C13" s="6" t="str">
        <f t="shared" si="1"/>
        <v xml:space="preserve"> 15</v>
      </c>
      <c r="E13" s="8" t="s">
        <v>67</v>
      </c>
      <c r="K13" s="8" t="s">
        <v>65</v>
      </c>
      <c r="L13" t="str">
        <f t="shared" si="2"/>
        <v xml:space="preserve">Nifedipine XL 30mg_Early               </v>
      </c>
      <c r="M13" t="str">
        <f t="shared" si="0"/>
        <v xml:space="preserve"> 15</v>
      </c>
    </row>
    <row r="14" spans="1:13" x14ac:dyDescent="0.2">
      <c r="A14" s="8" t="s">
        <v>67</v>
      </c>
      <c r="B14" s="1" t="s">
        <v>118</v>
      </c>
      <c r="C14" s="6" t="str">
        <f t="shared" si="1"/>
        <v xml:space="preserve"> 13</v>
      </c>
      <c r="E14" s="8" t="s">
        <v>68</v>
      </c>
      <c r="K14" s="8" t="s">
        <v>199</v>
      </c>
      <c r="L14" t="str">
        <f t="shared" si="2"/>
        <v xml:space="preserve">Candesartan 16mg_Early                 </v>
      </c>
      <c r="M14" t="str">
        <f t="shared" si="0"/>
        <v xml:space="preserve"> 11</v>
      </c>
    </row>
    <row r="15" spans="1:13" x14ac:dyDescent="0.2">
      <c r="A15" s="8" t="s">
        <v>68</v>
      </c>
      <c r="B15" s="1" t="s">
        <v>119</v>
      </c>
      <c r="C15" s="6" t="str">
        <f t="shared" si="1"/>
        <v xml:space="preserve"> 11</v>
      </c>
      <c r="E15" s="8" t="s">
        <v>199</v>
      </c>
      <c r="K15" s="8" t="s">
        <v>69</v>
      </c>
      <c r="L15" t="str">
        <f t="shared" si="2"/>
        <v xml:space="preserve">Nifedipine 20mg_Early                  </v>
      </c>
      <c r="M15" t="str">
        <f t="shared" si="0"/>
        <v xml:space="preserve"> 10</v>
      </c>
    </row>
    <row r="16" spans="1:13" x14ac:dyDescent="0.2">
      <c r="A16" s="8" t="s">
        <v>199</v>
      </c>
      <c r="B16" s="1" t="s">
        <v>117</v>
      </c>
      <c r="C16" s="6" t="str">
        <f t="shared" si="1"/>
        <v xml:space="preserve"> 11</v>
      </c>
      <c r="E16" s="8" t="s">
        <v>69</v>
      </c>
      <c r="K16" s="8" t="s">
        <v>256</v>
      </c>
      <c r="L16" t="str">
        <f t="shared" si="2"/>
        <v xml:space="preserve">Aprovasc_Early                         </v>
      </c>
      <c r="M16" t="str">
        <f t="shared" si="0"/>
        <v xml:space="preserve">  7</v>
      </c>
    </row>
    <row r="17" spans="1:13" x14ac:dyDescent="0.2">
      <c r="A17" s="8" t="s">
        <v>69</v>
      </c>
      <c r="B17" s="1" t="s">
        <v>120</v>
      </c>
      <c r="C17" s="6" t="str">
        <f t="shared" si="1"/>
        <v xml:space="preserve"> 10</v>
      </c>
      <c r="E17" s="8" t="s">
        <v>70</v>
      </c>
      <c r="K17" s="8" t="s">
        <v>70</v>
      </c>
      <c r="L17" t="str">
        <f t="shared" si="2"/>
        <v xml:space="preserve">Labetalol hydrochloride_Early          </v>
      </c>
      <c r="M17" t="str">
        <f t="shared" si="0"/>
        <v xml:space="preserve">  7</v>
      </c>
    </row>
    <row r="18" spans="1:13" x14ac:dyDescent="0.2">
      <c r="A18" s="8" t="s">
        <v>70</v>
      </c>
      <c r="B18" s="1" t="s">
        <v>122</v>
      </c>
      <c r="C18" s="6" t="str">
        <f t="shared" si="1"/>
        <v xml:space="preserve">  7</v>
      </c>
      <c r="E18" s="8" t="s">
        <v>200</v>
      </c>
      <c r="K18" s="8" t="s">
        <v>200</v>
      </c>
      <c r="L18" t="str">
        <f t="shared" si="2"/>
        <v xml:space="preserve">Atenolol 100mg_Early                   </v>
      </c>
      <c r="M18" t="str">
        <f t="shared" si="0"/>
        <v xml:space="preserve">  6</v>
      </c>
    </row>
    <row r="19" spans="1:13" x14ac:dyDescent="0.2">
      <c r="A19" s="8" t="s">
        <v>71</v>
      </c>
      <c r="B19" s="1" t="s">
        <v>123</v>
      </c>
      <c r="C19" s="6" t="str">
        <f t="shared" si="1"/>
        <v xml:space="preserve">  6</v>
      </c>
      <c r="E19" s="8" t="s">
        <v>71</v>
      </c>
      <c r="K19" s="8" t="s">
        <v>71</v>
      </c>
      <c r="L19" t="str">
        <f t="shared" si="2"/>
        <v xml:space="preserve">Coveram plus(10mg/2.5mg/10mg)_Early    </v>
      </c>
      <c r="M19" t="str">
        <f t="shared" si="0"/>
        <v xml:space="preserve">  6</v>
      </c>
    </row>
    <row r="20" spans="1:13" x14ac:dyDescent="0.2">
      <c r="A20" s="8" t="s">
        <v>200</v>
      </c>
      <c r="B20" s="1" t="s">
        <v>121</v>
      </c>
      <c r="C20" s="6" t="str">
        <f t="shared" si="1"/>
        <v xml:space="preserve">  6</v>
      </c>
      <c r="E20" s="8" t="s">
        <v>72</v>
      </c>
      <c r="K20" s="8" t="s">
        <v>72</v>
      </c>
      <c r="L20" t="str">
        <f t="shared" si="2"/>
        <v xml:space="preserve">Valsartan 80mg_Early                   </v>
      </c>
      <c r="M20" t="str">
        <f t="shared" si="0"/>
        <v xml:space="preserve">  6</v>
      </c>
    </row>
    <row r="21" spans="1:13" x14ac:dyDescent="0.2">
      <c r="A21" s="8" t="s">
        <v>72</v>
      </c>
      <c r="B21" s="1" t="s">
        <v>126</v>
      </c>
      <c r="C21" s="6" t="str">
        <f t="shared" si="1"/>
        <v xml:space="preserve">  6</v>
      </c>
      <c r="E21" s="8" t="s">
        <v>202</v>
      </c>
      <c r="K21" s="8" t="s">
        <v>201</v>
      </c>
      <c r="L21" t="str">
        <f t="shared" si="2"/>
        <v xml:space="preserve">Candesartan 8mg_Early                  </v>
      </c>
      <c r="M21" t="str">
        <f t="shared" si="0"/>
        <v xml:space="preserve">  5</v>
      </c>
    </row>
    <row r="22" spans="1:13" x14ac:dyDescent="0.2">
      <c r="A22" s="8" t="s">
        <v>201</v>
      </c>
      <c r="B22" s="1" t="s">
        <v>125</v>
      </c>
      <c r="C22" s="6" t="str">
        <f t="shared" si="1"/>
        <v xml:space="preserve">  5</v>
      </c>
      <c r="E22" s="8" t="s">
        <v>201</v>
      </c>
      <c r="K22" s="8" t="s">
        <v>202</v>
      </c>
      <c r="L22" t="str">
        <f t="shared" si="2"/>
        <v xml:space="preserve">Co-diovan_Early                        </v>
      </c>
      <c r="M22" t="str">
        <f t="shared" si="0"/>
        <v xml:space="preserve">  5</v>
      </c>
    </row>
    <row r="23" spans="1:13" x14ac:dyDescent="0.2">
      <c r="A23" s="8" t="s">
        <v>202</v>
      </c>
      <c r="B23" s="1" t="s">
        <v>124</v>
      </c>
      <c r="C23" s="6" t="str">
        <f t="shared" si="1"/>
        <v xml:space="preserve">  5</v>
      </c>
      <c r="E23" s="8" t="s">
        <v>203</v>
      </c>
      <c r="K23" s="8" t="s">
        <v>203</v>
      </c>
      <c r="L23" t="str">
        <f t="shared" si="2"/>
        <v xml:space="preserve">Furosemide 40mg_Early                  </v>
      </c>
      <c r="M23" t="str">
        <f t="shared" si="0"/>
        <v xml:space="preserve">  4</v>
      </c>
    </row>
    <row r="24" spans="1:13" x14ac:dyDescent="0.2">
      <c r="A24" s="8" t="s">
        <v>203</v>
      </c>
      <c r="B24" s="1" t="s">
        <v>127</v>
      </c>
      <c r="C24" s="6" t="str">
        <f t="shared" si="1"/>
        <v xml:space="preserve">  4</v>
      </c>
      <c r="E24" s="8" t="s">
        <v>73</v>
      </c>
      <c r="K24" s="8" t="s">
        <v>73</v>
      </c>
      <c r="L24" t="str">
        <f t="shared" si="2"/>
        <v xml:space="preserve">Hydrochlorothiazide 12.5mg_Early       </v>
      </c>
      <c r="M24" t="str">
        <f t="shared" si="0"/>
        <v xml:space="preserve">  4</v>
      </c>
    </row>
    <row r="25" spans="1:13" x14ac:dyDescent="0.2">
      <c r="A25" s="8" t="s">
        <v>73</v>
      </c>
      <c r="B25" s="1" t="s">
        <v>129</v>
      </c>
      <c r="C25" s="6" t="str">
        <f t="shared" si="1"/>
        <v xml:space="preserve">  4</v>
      </c>
      <c r="E25" s="8" t="s">
        <v>204</v>
      </c>
      <c r="K25" s="8" t="s">
        <v>204</v>
      </c>
      <c r="L25" t="str">
        <f t="shared" si="2"/>
        <v xml:space="preserve">Valsartan 160mg_Early                  </v>
      </c>
      <c r="M25" t="str">
        <f t="shared" si="0"/>
        <v xml:space="preserve">  3</v>
      </c>
    </row>
    <row r="26" spans="1:13" x14ac:dyDescent="0.2">
      <c r="A26" s="8" t="s">
        <v>204</v>
      </c>
      <c r="B26" s="1" t="s">
        <v>128</v>
      </c>
      <c r="C26" s="6" t="str">
        <f t="shared" si="1"/>
        <v xml:space="preserve">  3</v>
      </c>
      <c r="E26" s="8" t="s">
        <v>76</v>
      </c>
      <c r="K26" s="8" t="s">
        <v>76</v>
      </c>
      <c r="L26" t="str">
        <f t="shared" si="2"/>
        <v xml:space="preserve">Doxazosin 4mg_Early                    </v>
      </c>
      <c r="M26" t="str">
        <f t="shared" si="0"/>
        <v xml:space="preserve">  3</v>
      </c>
    </row>
    <row r="27" spans="1:13" x14ac:dyDescent="0.2">
      <c r="A27" s="8" t="s">
        <v>76</v>
      </c>
      <c r="B27" s="1" t="s">
        <v>132</v>
      </c>
      <c r="C27" s="6" t="str">
        <f t="shared" si="1"/>
        <v xml:space="preserve">  3</v>
      </c>
      <c r="E27" s="8" t="s">
        <v>74</v>
      </c>
      <c r="K27" s="8" t="s">
        <v>257</v>
      </c>
      <c r="L27" t="str">
        <f t="shared" si="2"/>
        <v xml:space="preserve">Bisoprolol 5mg_Early                   </v>
      </c>
      <c r="M27" t="str">
        <f t="shared" si="0"/>
        <v xml:space="preserve">  3</v>
      </c>
    </row>
    <row r="28" spans="1:13" x14ac:dyDescent="0.2">
      <c r="A28" s="8" t="s">
        <v>74</v>
      </c>
      <c r="B28" s="1" t="s">
        <v>130</v>
      </c>
      <c r="C28" s="6" t="str">
        <f t="shared" si="1"/>
        <v xml:space="preserve">  3</v>
      </c>
      <c r="E28" s="8" t="s">
        <v>75</v>
      </c>
      <c r="K28" s="8" t="s">
        <v>74</v>
      </c>
      <c r="L28" t="str">
        <f t="shared" si="2"/>
        <v xml:space="preserve">Torsemide 20mg_Early                   </v>
      </c>
      <c r="M28" t="str">
        <f t="shared" si="0"/>
        <v xml:space="preserve">  3</v>
      </c>
    </row>
    <row r="29" spans="1:13" x14ac:dyDescent="0.2">
      <c r="A29" s="8" t="s">
        <v>75</v>
      </c>
      <c r="B29" s="1" t="s">
        <v>131</v>
      </c>
      <c r="C29" s="6" t="str">
        <f t="shared" si="1"/>
        <v xml:space="preserve">  3</v>
      </c>
      <c r="E29" s="8" t="s">
        <v>78</v>
      </c>
      <c r="K29" s="8" t="s">
        <v>75</v>
      </c>
      <c r="L29" t="str">
        <f t="shared" si="2"/>
        <v xml:space="preserve">Hydrochlorothiazide 25mg_Early         </v>
      </c>
      <c r="M29" t="str">
        <f t="shared" si="0"/>
        <v xml:space="preserve">  3</v>
      </c>
    </row>
    <row r="30" spans="1:13" x14ac:dyDescent="0.2">
      <c r="A30" s="8" t="s">
        <v>78</v>
      </c>
      <c r="B30" s="1" t="s">
        <v>135</v>
      </c>
      <c r="C30" s="6" t="str">
        <f t="shared" si="1"/>
        <v xml:space="preserve">  2</v>
      </c>
      <c r="E30" s="8" t="s">
        <v>77</v>
      </c>
      <c r="K30" s="8" t="s">
        <v>78</v>
      </c>
      <c r="L30" t="str">
        <f t="shared" si="2"/>
        <v xml:space="preserve">Furosemide 20mg_Early                  </v>
      </c>
      <c r="M30" t="str">
        <f t="shared" si="0"/>
        <v xml:space="preserve">  2</v>
      </c>
    </row>
    <row r="31" spans="1:13" x14ac:dyDescent="0.2">
      <c r="A31" s="8" t="s">
        <v>77</v>
      </c>
      <c r="B31" s="1" t="s">
        <v>134</v>
      </c>
      <c r="C31" s="6" t="str">
        <f t="shared" si="1"/>
        <v xml:space="preserve">  2</v>
      </c>
      <c r="E31" s="8" t="s">
        <v>242</v>
      </c>
      <c r="K31" s="8" t="s">
        <v>77</v>
      </c>
      <c r="L31" t="str">
        <f t="shared" si="2"/>
        <v xml:space="preserve">Twynsta_Early                          </v>
      </c>
      <c r="M31" t="str">
        <f t="shared" si="0"/>
        <v xml:space="preserve">  2</v>
      </c>
    </row>
    <row r="32" spans="1:13" x14ac:dyDescent="0.2">
      <c r="A32" s="8" t="s">
        <v>81</v>
      </c>
      <c r="B32" s="1" t="s">
        <v>138</v>
      </c>
      <c r="C32" s="6" t="str">
        <f t="shared" si="1"/>
        <v xml:space="preserve">  1</v>
      </c>
      <c r="E32" s="8" t="s">
        <v>81</v>
      </c>
      <c r="K32" s="8" t="s">
        <v>242</v>
      </c>
      <c r="L32" t="str">
        <f t="shared" si="2"/>
        <v xml:space="preserve">Methyldopa 250mg_Early                 </v>
      </c>
      <c r="M32" t="str">
        <f t="shared" si="0"/>
        <v xml:space="preserve">  2</v>
      </c>
    </row>
    <row r="33" spans="1:13" x14ac:dyDescent="0.2">
      <c r="A33" s="8" t="s">
        <v>79</v>
      </c>
      <c r="B33" s="1" t="s">
        <v>136</v>
      </c>
      <c r="C33" s="6" t="str">
        <f t="shared" si="1"/>
        <v xml:space="preserve">  1</v>
      </c>
      <c r="E33" s="8" t="s">
        <v>79</v>
      </c>
      <c r="K33" s="8" t="s">
        <v>81</v>
      </c>
      <c r="L33" t="str">
        <f t="shared" si="2"/>
        <v xml:space="preserve">Methyldopa 500mg_Early                 </v>
      </c>
      <c r="M33" t="str">
        <f t="shared" ref="M33:M58" si="3">RIGHT(K33,3)</f>
        <v xml:space="preserve">  1</v>
      </c>
    </row>
    <row r="34" spans="1:13" x14ac:dyDescent="0.2">
      <c r="A34" s="8" t="s">
        <v>82</v>
      </c>
      <c r="B34" s="1" t="s">
        <v>139</v>
      </c>
      <c r="C34" s="6" t="str">
        <f t="shared" si="1"/>
        <v xml:space="preserve">  1</v>
      </c>
      <c r="E34" s="8" t="s">
        <v>82</v>
      </c>
      <c r="K34" s="8" t="s">
        <v>79</v>
      </c>
      <c r="L34" t="str">
        <f t="shared" si="2"/>
        <v xml:space="preserve">Coveram 5mg/5mg_Early                  </v>
      </c>
      <c r="M34" t="str">
        <f t="shared" si="3"/>
        <v xml:space="preserve">  1</v>
      </c>
    </row>
    <row r="35" spans="1:13" x14ac:dyDescent="0.2">
      <c r="A35" s="8" t="s">
        <v>80</v>
      </c>
      <c r="B35" s="1" t="s">
        <v>137</v>
      </c>
      <c r="C35" s="6" t="str">
        <f t="shared" si="1"/>
        <v xml:space="preserve">  1</v>
      </c>
      <c r="E35" s="8" t="s">
        <v>80</v>
      </c>
      <c r="K35" s="8" t="s">
        <v>80</v>
      </c>
      <c r="L35" t="str">
        <f t="shared" si="2"/>
        <v xml:space="preserve">Avsar 10/160mg_Early                   </v>
      </c>
      <c r="M35" t="str">
        <f t="shared" si="3"/>
        <v xml:space="preserve">  1</v>
      </c>
    </row>
    <row r="36" spans="1:13" x14ac:dyDescent="0.2">
      <c r="A36" s="8" t="s">
        <v>205</v>
      </c>
      <c r="B36" s="1" t="s">
        <v>133</v>
      </c>
      <c r="C36" s="6" t="str">
        <f t="shared" si="1"/>
        <v xml:space="preserve">  1</v>
      </c>
      <c r="E36" s="8" t="s">
        <v>205</v>
      </c>
      <c r="K36" s="8" t="s">
        <v>205</v>
      </c>
      <c r="L36" t="str">
        <f t="shared" si="2"/>
        <v xml:space="preserve">Propanolol 40mg_Early                  </v>
      </c>
      <c r="M36" t="str">
        <f t="shared" si="3"/>
        <v xml:space="preserve">  1</v>
      </c>
    </row>
    <row r="37" spans="1:13" x14ac:dyDescent="0.2">
      <c r="A37" s="8" t="s">
        <v>87</v>
      </c>
      <c r="B37" s="1" t="s">
        <v>144</v>
      </c>
      <c r="C37" s="6" t="str">
        <f t="shared" si="1"/>
        <v xml:space="preserve">  0</v>
      </c>
      <c r="E37" s="8" t="s">
        <v>87</v>
      </c>
      <c r="K37" s="8" t="s">
        <v>82</v>
      </c>
      <c r="L37" t="str">
        <f t="shared" si="2"/>
        <v xml:space="preserve">Atenolol 50mg_Early                    </v>
      </c>
      <c r="M37" t="str">
        <f t="shared" si="3"/>
        <v xml:space="preserve">  1</v>
      </c>
    </row>
    <row r="38" spans="1:13" x14ac:dyDescent="0.2">
      <c r="A38" s="8" t="s">
        <v>88</v>
      </c>
      <c r="B38" s="1" t="s">
        <v>145</v>
      </c>
      <c r="C38" s="6" t="str">
        <f t="shared" si="1"/>
        <v xml:space="preserve">  0</v>
      </c>
      <c r="E38" s="8" t="s">
        <v>88</v>
      </c>
      <c r="K38" s="8" t="s">
        <v>87</v>
      </c>
      <c r="L38" t="str">
        <f t="shared" si="2"/>
        <v xml:space="preserve">Carvals H 160/25mg_Early               </v>
      </c>
      <c r="M38" t="str">
        <f t="shared" si="3"/>
        <v xml:space="preserve">  0</v>
      </c>
    </row>
    <row r="39" spans="1:13" x14ac:dyDescent="0.2">
      <c r="A39" s="8" t="s">
        <v>89</v>
      </c>
      <c r="B39" s="1" t="s">
        <v>146</v>
      </c>
      <c r="C39" s="6" t="str">
        <f t="shared" si="1"/>
        <v xml:space="preserve">  0</v>
      </c>
      <c r="E39" s="8" t="s">
        <v>89</v>
      </c>
      <c r="K39" s="8" t="s">
        <v>85</v>
      </c>
      <c r="L39" t="str">
        <f t="shared" si="2"/>
        <v xml:space="preserve">Metoprolol 50mg_Early                  </v>
      </c>
      <c r="M39" t="str">
        <f t="shared" si="3"/>
        <v xml:space="preserve">  0</v>
      </c>
    </row>
    <row r="40" spans="1:13" x14ac:dyDescent="0.2">
      <c r="A40" s="8" t="s">
        <v>86</v>
      </c>
      <c r="B40" s="1" t="s">
        <v>143</v>
      </c>
      <c r="C40" s="6" t="str">
        <f t="shared" si="1"/>
        <v xml:space="preserve">  0</v>
      </c>
      <c r="E40" s="8" t="s">
        <v>83</v>
      </c>
      <c r="K40" s="8" t="s">
        <v>88</v>
      </c>
      <c r="L40" t="str">
        <f t="shared" si="2"/>
        <v xml:space="preserve">Nebivolol 10mg_Early                   </v>
      </c>
      <c r="M40" t="str">
        <f t="shared" si="3"/>
        <v xml:space="preserve">  0</v>
      </c>
    </row>
    <row r="41" spans="1:13" x14ac:dyDescent="0.2">
      <c r="A41" s="8" t="s">
        <v>83</v>
      </c>
      <c r="B41" s="1" t="s">
        <v>140</v>
      </c>
      <c r="C41" s="6" t="str">
        <f t="shared" si="1"/>
        <v xml:space="preserve">  0</v>
      </c>
      <c r="E41" s="8" t="s">
        <v>84</v>
      </c>
      <c r="K41" s="8" t="s">
        <v>89</v>
      </c>
      <c r="L41" t="str">
        <f t="shared" si="2"/>
        <v xml:space="preserve">Nebivolol 5mg_Early                    </v>
      </c>
      <c r="M41" t="str">
        <f t="shared" si="3"/>
        <v xml:space="preserve">  0</v>
      </c>
    </row>
    <row r="42" spans="1:13" x14ac:dyDescent="0.2">
      <c r="A42" s="8" t="s">
        <v>84</v>
      </c>
      <c r="B42" s="1" t="s">
        <v>141</v>
      </c>
      <c r="C42" s="6" t="str">
        <f t="shared" si="1"/>
        <v xml:space="preserve">  0</v>
      </c>
      <c r="E42" s="8" t="s">
        <v>90</v>
      </c>
      <c r="K42" s="8" t="s">
        <v>90</v>
      </c>
      <c r="L42" t="str">
        <f t="shared" si="2"/>
        <v xml:space="preserve">Doxazosin 2mg_Early                    </v>
      </c>
      <c r="M42" t="str">
        <f t="shared" si="3"/>
        <v xml:space="preserve">  0</v>
      </c>
    </row>
    <row r="43" spans="1:13" x14ac:dyDescent="0.2">
      <c r="A43" s="8" t="s">
        <v>90</v>
      </c>
      <c r="B43" s="1" t="s">
        <v>147</v>
      </c>
      <c r="C43" s="6" t="str">
        <f t="shared" si="1"/>
        <v xml:space="preserve">  0</v>
      </c>
      <c r="E43" s="8" t="s">
        <v>86</v>
      </c>
      <c r="K43" s="8" t="s">
        <v>84</v>
      </c>
      <c r="L43" t="str">
        <f t="shared" si="2"/>
        <v xml:space="preserve">Coversyl 10mg_Early                    </v>
      </c>
      <c r="M43" t="str">
        <f t="shared" si="3"/>
        <v xml:space="preserve">  0</v>
      </c>
    </row>
    <row r="44" spans="1:13" x14ac:dyDescent="0.2">
      <c r="A44" s="8" t="s">
        <v>85</v>
      </c>
      <c r="B44" s="1" t="s">
        <v>142</v>
      </c>
      <c r="C44" s="6" t="str">
        <f t="shared" si="1"/>
        <v xml:space="preserve">  0</v>
      </c>
      <c r="E44" s="8" t="s">
        <v>85</v>
      </c>
      <c r="K44" s="8" t="s">
        <v>83</v>
      </c>
      <c r="L44" t="str">
        <f t="shared" si="2"/>
        <v xml:space="preserve">Exforge hct_Early                      </v>
      </c>
      <c r="M44" t="str">
        <f t="shared" si="3"/>
        <v xml:space="preserve">  0</v>
      </c>
    </row>
    <row r="45" spans="1:13" x14ac:dyDescent="0.2">
      <c r="A45" s="8" t="s">
        <v>91</v>
      </c>
      <c r="B45" s="1" t="s">
        <v>148</v>
      </c>
      <c r="C45" s="6" t="str">
        <f t="shared" si="1"/>
        <v xml:space="preserve">  0</v>
      </c>
      <c r="E45" s="8" t="s">
        <v>91</v>
      </c>
      <c r="K45" s="8" t="s">
        <v>91</v>
      </c>
      <c r="L45" t="str">
        <f t="shared" si="2"/>
        <v xml:space="preserve">Avantec 16/12.5_Early                  </v>
      </c>
      <c r="M45" t="str">
        <f t="shared" si="3"/>
        <v xml:space="preserve">  0</v>
      </c>
    </row>
    <row r="46" spans="1:13" x14ac:dyDescent="0.2">
      <c r="A46" s="8" t="s">
        <v>92</v>
      </c>
      <c r="B46" s="1" t="s">
        <v>149</v>
      </c>
      <c r="C46" s="6" t="str">
        <f t="shared" si="1"/>
        <v xml:space="preserve">  0</v>
      </c>
      <c r="E46" s="8" t="s">
        <v>92</v>
      </c>
      <c r="K46" s="8" t="s">
        <v>86</v>
      </c>
      <c r="L46" t="str">
        <f t="shared" si="2"/>
        <v xml:space="preserve">Propanolol 80mg_Early                  </v>
      </c>
      <c r="M46" t="str">
        <f t="shared" si="3"/>
        <v xml:space="preserve">  0</v>
      </c>
    </row>
    <row r="47" spans="1:13" x14ac:dyDescent="0.2">
      <c r="A47" s="8" t="s">
        <v>93</v>
      </c>
      <c r="B47" s="1" t="s">
        <v>150</v>
      </c>
      <c r="C47" s="6" t="str">
        <f t="shared" si="1"/>
        <v xml:space="preserve">  0</v>
      </c>
      <c r="E47" s="8" t="s">
        <v>93</v>
      </c>
      <c r="K47" s="8" t="s">
        <v>92</v>
      </c>
      <c r="L47" t="str">
        <f t="shared" si="2"/>
        <v xml:space="preserve">Carvedilol 12.5mg_Early                </v>
      </c>
      <c r="M47" t="str">
        <f t="shared" si="3"/>
        <v xml:space="preserve">  0</v>
      </c>
    </row>
    <row r="48" spans="1:13" x14ac:dyDescent="0.2">
      <c r="A48" s="8" t="s">
        <v>94</v>
      </c>
      <c r="B48" s="1" t="s">
        <v>151</v>
      </c>
      <c r="C48" s="6" t="str">
        <f t="shared" si="1"/>
        <v xml:space="preserve">  0</v>
      </c>
      <c r="E48" s="8" t="s">
        <v>94</v>
      </c>
      <c r="K48" s="8" t="s">
        <v>93</v>
      </c>
      <c r="L48" t="str">
        <f t="shared" si="2"/>
        <v xml:space="preserve">Carvedilol 6.25mg_Early                </v>
      </c>
      <c r="M48" t="str">
        <f t="shared" si="3"/>
        <v xml:space="preserve">  0</v>
      </c>
    </row>
    <row r="49" spans="1:13" x14ac:dyDescent="0.2">
      <c r="A49" s="8" t="s">
        <v>95</v>
      </c>
      <c r="B49" s="1" t="s">
        <v>152</v>
      </c>
      <c r="C49" s="6" t="str">
        <f t="shared" si="1"/>
        <v xml:space="preserve">  0</v>
      </c>
      <c r="E49" s="8" t="s">
        <v>95</v>
      </c>
      <c r="K49" s="8" t="s">
        <v>94</v>
      </c>
      <c r="L49" t="str">
        <f t="shared" si="2"/>
        <v xml:space="preserve">Carvedilol 3.125mg_Early               </v>
      </c>
      <c r="M49" t="str">
        <f t="shared" si="3"/>
        <v xml:space="preserve">  0</v>
      </c>
    </row>
    <row r="50" spans="1:13" x14ac:dyDescent="0.2">
      <c r="A50" s="8" t="s">
        <v>96</v>
      </c>
      <c r="B50" s="1" t="s">
        <v>153</v>
      </c>
      <c r="C50" s="6" t="str">
        <f t="shared" si="1"/>
        <v xml:space="preserve">  0</v>
      </c>
      <c r="E50" s="8" t="s">
        <v>96</v>
      </c>
      <c r="K50" s="8" t="s">
        <v>95</v>
      </c>
      <c r="L50" t="str">
        <f t="shared" si="2"/>
        <v xml:space="preserve">Captopril_Early                        </v>
      </c>
      <c r="M50" t="str">
        <f t="shared" si="3"/>
        <v xml:space="preserve">  0</v>
      </c>
    </row>
    <row r="51" spans="1:13" x14ac:dyDescent="0.2">
      <c r="A51" s="8" t="s">
        <v>97</v>
      </c>
      <c r="B51" s="1" t="s">
        <v>154</v>
      </c>
      <c r="C51" s="6" t="str">
        <f t="shared" si="1"/>
        <v xml:space="preserve">  0</v>
      </c>
      <c r="E51" s="8" t="s">
        <v>97</v>
      </c>
      <c r="K51" s="8" t="s">
        <v>96</v>
      </c>
      <c r="L51" t="str">
        <f t="shared" si="2"/>
        <v xml:space="preserve">Coveram (10mg/10mg)_Early              </v>
      </c>
      <c r="M51" t="str">
        <f t="shared" si="3"/>
        <v xml:space="preserve">  0</v>
      </c>
    </row>
    <row r="52" spans="1:13" x14ac:dyDescent="0.2">
      <c r="A52" s="8" t="s">
        <v>98</v>
      </c>
      <c r="B52" s="1" t="s">
        <v>155</v>
      </c>
      <c r="C52" s="6" t="str">
        <f t="shared" si="1"/>
        <v xml:space="preserve">  0</v>
      </c>
      <c r="E52" s="8" t="s">
        <v>98</v>
      </c>
      <c r="K52" s="8" t="s">
        <v>97</v>
      </c>
      <c r="L52" t="str">
        <f t="shared" si="2"/>
        <v xml:space="preserve">Coveram plus(5mg/2.5mg/5mg)_Early      </v>
      </c>
      <c r="M52" t="str">
        <f t="shared" si="3"/>
        <v xml:space="preserve">  0</v>
      </c>
    </row>
    <row r="53" spans="1:13" x14ac:dyDescent="0.2">
      <c r="A53" s="8" t="s">
        <v>99</v>
      </c>
      <c r="B53" s="1" t="s">
        <v>156</v>
      </c>
      <c r="C53" s="6" t="str">
        <f t="shared" si="1"/>
        <v xml:space="preserve">  0</v>
      </c>
      <c r="E53" s="8" t="s">
        <v>99</v>
      </c>
      <c r="K53" s="8" t="s">
        <v>98</v>
      </c>
      <c r="L53" t="str">
        <f t="shared" si="2"/>
        <v xml:space="preserve">Coveram(5mg/1.25mg/5mg)_Early          </v>
      </c>
      <c r="M53" t="str">
        <f t="shared" si="3"/>
        <v xml:space="preserve">  0</v>
      </c>
    </row>
    <row r="54" spans="1:13" x14ac:dyDescent="0.2">
      <c r="A54" s="8" t="s">
        <v>100</v>
      </c>
      <c r="B54" s="1" t="s">
        <v>157</v>
      </c>
      <c r="C54" s="6" t="str">
        <f t="shared" si="1"/>
        <v xml:space="preserve">  0</v>
      </c>
      <c r="E54" s="8" t="s">
        <v>100</v>
      </c>
      <c r="K54" s="8" t="s">
        <v>99</v>
      </c>
      <c r="L54" t="str">
        <f t="shared" si="2"/>
        <v xml:space="preserve">Avantec 32/12.5_Early                  </v>
      </c>
      <c r="M54" t="str">
        <f t="shared" si="3"/>
        <v xml:space="preserve">  0</v>
      </c>
    </row>
    <row r="55" spans="1:13" x14ac:dyDescent="0.2">
      <c r="A55" s="8" t="s">
        <v>101</v>
      </c>
      <c r="B55" s="1" t="s">
        <v>158</v>
      </c>
      <c r="C55" s="6" t="str">
        <f t="shared" si="1"/>
        <v xml:space="preserve">  0</v>
      </c>
      <c r="E55" s="8" t="s">
        <v>101</v>
      </c>
      <c r="K55" s="8" t="s">
        <v>101</v>
      </c>
      <c r="L55" t="str">
        <f t="shared" si="2"/>
        <v xml:space="preserve">Telmisartan 40mg_Early                 </v>
      </c>
      <c r="M55" t="str">
        <f t="shared" si="3"/>
        <v xml:space="preserve">  0</v>
      </c>
    </row>
    <row r="56" spans="1:13" x14ac:dyDescent="0.2">
      <c r="A56" s="8" t="s">
        <v>102</v>
      </c>
      <c r="B56" s="1" t="s">
        <v>159</v>
      </c>
      <c r="C56" s="6" t="str">
        <f t="shared" si="1"/>
        <v xml:space="preserve">  0</v>
      </c>
      <c r="E56" s="8" t="s">
        <v>102</v>
      </c>
      <c r="K56" s="8" t="s">
        <v>102</v>
      </c>
      <c r="L56" t="str">
        <f t="shared" si="2"/>
        <v xml:space="preserve">Torsemide 10mg_Early                   </v>
      </c>
      <c r="M56" t="str">
        <f t="shared" si="3"/>
        <v xml:space="preserve">  0</v>
      </c>
    </row>
    <row r="57" spans="1:13" x14ac:dyDescent="0.2">
      <c r="A57" s="8" t="s">
        <v>103</v>
      </c>
      <c r="B57" s="1" t="s">
        <v>160</v>
      </c>
      <c r="C57" s="6" t="str">
        <f t="shared" si="1"/>
        <v xml:space="preserve">  0</v>
      </c>
      <c r="E57" s="8" t="s">
        <v>103</v>
      </c>
      <c r="K57" s="8" t="s">
        <v>103</v>
      </c>
      <c r="L57" t="str">
        <f t="shared" si="2"/>
        <v xml:space="preserve">Co-micardis 12.5/80_Early              </v>
      </c>
      <c r="M57" t="str">
        <f t="shared" si="3"/>
        <v xml:space="preserve">  0</v>
      </c>
    </row>
    <row r="58" spans="1:13" x14ac:dyDescent="0.2">
      <c r="A58" s="8" t="s">
        <v>206</v>
      </c>
      <c r="K58" s="8"/>
      <c r="L58" t="e">
        <f t="shared" si="2"/>
        <v>#VALUE!</v>
      </c>
      <c r="M58" t="str">
        <f t="shared" si="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B15" sqref="B15"/>
    </sheetView>
  </sheetViews>
  <sheetFormatPr defaultRowHeight="12.75" x14ac:dyDescent="0.2"/>
  <cols>
    <col min="1" max="1" width="56.5703125" bestFit="1" customWidth="1"/>
    <col min="2" max="2" width="46.28515625" bestFit="1" customWidth="1"/>
    <col min="3" max="3" width="29.28515625" bestFit="1" customWidth="1"/>
    <col min="4" max="4" width="10.5703125" bestFit="1" customWidth="1"/>
    <col min="5" max="5" width="11.42578125" style="6" bestFit="1" customWidth="1"/>
    <col min="9" max="9" width="27.42578125" bestFit="1" customWidth="1"/>
  </cols>
  <sheetData>
    <row r="1" spans="1:9" x14ac:dyDescent="0.2">
      <c r="A1" s="8" t="s">
        <v>274</v>
      </c>
      <c r="B1" s="8"/>
      <c r="D1" s="1" t="s">
        <v>243</v>
      </c>
      <c r="E1" s="10" t="s">
        <v>244</v>
      </c>
      <c r="F1" s="1" t="s">
        <v>245</v>
      </c>
    </row>
    <row r="2" spans="1:9" x14ac:dyDescent="0.2">
      <c r="A2" s="8" t="s">
        <v>258</v>
      </c>
      <c r="B2" s="8" t="str">
        <f>TRIM(LEFT(A2,LEN(A2)-6))</f>
        <v>Amlodipine 10mg_Days_Remaining</v>
      </c>
      <c r="C2" s="1" t="str">
        <f>LEFT(B2,LEN(B2)-15)</f>
        <v>Amlodipine 10mg</v>
      </c>
      <c r="D2">
        <v>30</v>
      </c>
      <c r="E2" s="7">
        <v>4708</v>
      </c>
      <c r="F2">
        <f>(ROUND(E2/D2,0))</f>
        <v>157</v>
      </c>
    </row>
    <row r="3" spans="1:9" x14ac:dyDescent="0.2">
      <c r="A3" s="8" t="s">
        <v>259</v>
      </c>
      <c r="B3" s="8" t="str">
        <f t="shared" ref="B3:B57" si="0">TRIM(LEFT(A3,LEN(A3)-6))</f>
        <v>Losartan 50mg_Days_Remaining</v>
      </c>
      <c r="C3" s="1" t="str">
        <f t="shared" ref="C3:C57" si="1">LEFT(B3,LEN(B3)-15)</f>
        <v>Losartan 50mg</v>
      </c>
      <c r="D3">
        <v>30</v>
      </c>
      <c r="E3" s="7">
        <v>1244</v>
      </c>
      <c r="F3">
        <f t="shared" ref="F3:F59" si="2">(ROUND(E3/D3,0))</f>
        <v>41</v>
      </c>
    </row>
    <row r="4" spans="1:9" x14ac:dyDescent="0.2">
      <c r="A4" s="8" t="s">
        <v>260</v>
      </c>
      <c r="B4" s="8" t="str">
        <f t="shared" si="0"/>
        <v>Lisinopril 10mg_Days_Remaining</v>
      </c>
      <c r="C4" s="1" t="str">
        <f t="shared" si="1"/>
        <v>Lisinopril 10mg</v>
      </c>
      <c r="D4">
        <v>28</v>
      </c>
      <c r="E4" s="7">
        <v>1168</v>
      </c>
      <c r="F4">
        <f t="shared" si="2"/>
        <v>42</v>
      </c>
    </row>
    <row r="5" spans="1:9" x14ac:dyDescent="0.2">
      <c r="A5" s="8" t="s">
        <v>207</v>
      </c>
      <c r="B5" s="8" t="str">
        <f t="shared" si="0"/>
        <v>Indapamide 1.5mg_Days_Remaining</v>
      </c>
      <c r="C5" s="1" t="str">
        <f t="shared" si="1"/>
        <v>Indapamide 1.5mg</v>
      </c>
      <c r="D5">
        <v>30</v>
      </c>
      <c r="E5" s="11">
        <v>910</v>
      </c>
      <c r="F5">
        <f t="shared" si="2"/>
        <v>30</v>
      </c>
      <c r="I5" t="s">
        <v>268</v>
      </c>
    </row>
    <row r="6" spans="1:9" x14ac:dyDescent="0.2">
      <c r="A6" s="8" t="s">
        <v>261</v>
      </c>
      <c r="B6" s="8" t="str">
        <f t="shared" si="0"/>
        <v>Bisoprolol 2.5mg_Days_Remaining</v>
      </c>
      <c r="C6" s="1" t="str">
        <f t="shared" si="1"/>
        <v>Bisoprolol 2.5mg</v>
      </c>
      <c r="D6">
        <v>28</v>
      </c>
      <c r="E6" s="7">
        <v>904</v>
      </c>
      <c r="F6">
        <f t="shared" si="2"/>
        <v>32</v>
      </c>
      <c r="I6" t="s">
        <v>269</v>
      </c>
    </row>
    <row r="7" spans="1:9" x14ac:dyDescent="0.2">
      <c r="A7" s="8" t="s">
        <v>208</v>
      </c>
      <c r="B7" s="8" t="str">
        <f t="shared" si="0"/>
        <v>Bendroflumethiazide 2.5mg_Days_Remaining</v>
      </c>
      <c r="C7" s="1" t="str">
        <f t="shared" si="1"/>
        <v>Bendroflumethiazide 2.5mg</v>
      </c>
      <c r="D7">
        <v>28</v>
      </c>
      <c r="E7" s="7">
        <v>810</v>
      </c>
      <c r="F7">
        <f t="shared" si="2"/>
        <v>29</v>
      </c>
      <c r="I7" t="s">
        <v>222</v>
      </c>
    </row>
    <row r="8" spans="1:9" x14ac:dyDescent="0.2">
      <c r="A8" s="8" t="s">
        <v>262</v>
      </c>
      <c r="B8" s="8" t="str">
        <f t="shared" si="0"/>
        <v>Amlodipine 5mg_Days_Remaining</v>
      </c>
      <c r="C8" s="1" t="str">
        <f t="shared" si="1"/>
        <v>Amlodipine 5mg</v>
      </c>
      <c r="D8">
        <v>30</v>
      </c>
      <c r="E8" s="7">
        <v>603</v>
      </c>
      <c r="F8">
        <f t="shared" si="2"/>
        <v>20</v>
      </c>
      <c r="I8" t="s">
        <v>223</v>
      </c>
    </row>
    <row r="9" spans="1:9" x14ac:dyDescent="0.2">
      <c r="A9" s="8" t="s">
        <v>161</v>
      </c>
      <c r="B9" s="8" t="str">
        <f t="shared" si="0"/>
        <v>Normoretic_Days_Remaining</v>
      </c>
      <c r="C9" s="1" t="str">
        <f t="shared" si="1"/>
        <v>Normoretic</v>
      </c>
      <c r="D9">
        <v>100</v>
      </c>
      <c r="E9" s="7">
        <v>356</v>
      </c>
      <c r="F9">
        <f t="shared" si="2"/>
        <v>4</v>
      </c>
      <c r="I9" t="s">
        <v>224</v>
      </c>
    </row>
    <row r="10" spans="1:9" x14ac:dyDescent="0.2">
      <c r="A10" s="8" t="s">
        <v>263</v>
      </c>
      <c r="B10" s="8" t="str">
        <f t="shared" si="0"/>
        <v>Losartan 100mg_Days_Remaining</v>
      </c>
      <c r="C10" s="1" t="str">
        <f t="shared" si="1"/>
        <v>Losartan 100mg</v>
      </c>
      <c r="D10">
        <v>30</v>
      </c>
      <c r="E10" s="7">
        <v>335</v>
      </c>
      <c r="F10">
        <f t="shared" si="2"/>
        <v>11</v>
      </c>
      <c r="I10" t="s">
        <v>225</v>
      </c>
    </row>
    <row r="11" spans="1:9" x14ac:dyDescent="0.2">
      <c r="A11" s="8" t="s">
        <v>264</v>
      </c>
      <c r="B11" s="8" t="str">
        <f t="shared" si="0"/>
        <v>Lisinopril 5mg_Days_Remaining</v>
      </c>
      <c r="C11" s="1" t="str">
        <f t="shared" si="1"/>
        <v>Lisinopril 5mg</v>
      </c>
      <c r="D11">
        <v>28</v>
      </c>
      <c r="E11" s="7">
        <v>204</v>
      </c>
      <c r="F11">
        <f t="shared" si="2"/>
        <v>7</v>
      </c>
      <c r="I11" t="s">
        <v>226</v>
      </c>
    </row>
    <row r="12" spans="1:9" x14ac:dyDescent="0.2">
      <c r="A12" s="8" t="s">
        <v>162</v>
      </c>
      <c r="B12" s="8" t="str">
        <f t="shared" si="0"/>
        <v>Spirinolactone_Days_Remaining</v>
      </c>
      <c r="C12" s="1" t="str">
        <f t="shared" si="1"/>
        <v>Spirinolactone</v>
      </c>
      <c r="D12">
        <v>100</v>
      </c>
      <c r="E12" s="7">
        <v>184</v>
      </c>
      <c r="F12">
        <f t="shared" si="2"/>
        <v>2</v>
      </c>
      <c r="I12" t="s">
        <v>227</v>
      </c>
    </row>
    <row r="13" spans="1:9" x14ac:dyDescent="0.2">
      <c r="A13" s="8" t="s">
        <v>163</v>
      </c>
      <c r="B13" s="8" t="str">
        <f t="shared" si="0"/>
        <v>Telmisartan 80mg_Days_Remaining</v>
      </c>
      <c r="C13" s="1" t="str">
        <f t="shared" si="1"/>
        <v>Telmisartan 80mg</v>
      </c>
      <c r="D13">
        <v>30</v>
      </c>
      <c r="E13" s="7">
        <v>160</v>
      </c>
      <c r="F13">
        <f t="shared" si="2"/>
        <v>5</v>
      </c>
      <c r="I13" t="s">
        <v>228</v>
      </c>
    </row>
    <row r="14" spans="1:9" x14ac:dyDescent="0.2">
      <c r="A14" s="8" t="s">
        <v>164</v>
      </c>
      <c r="B14" s="8" t="str">
        <f t="shared" si="0"/>
        <v>Nifedipine XL 30mg_Days_Remaining</v>
      </c>
      <c r="C14" s="1" t="str">
        <f t="shared" si="1"/>
        <v>Nifedipine XL 30mg</v>
      </c>
      <c r="D14">
        <v>30</v>
      </c>
      <c r="E14" s="7">
        <v>148</v>
      </c>
      <c r="F14">
        <f t="shared" si="2"/>
        <v>5</v>
      </c>
      <c r="I14" t="s">
        <v>229</v>
      </c>
    </row>
    <row r="15" spans="1:9" x14ac:dyDescent="0.2">
      <c r="A15" s="8" t="s">
        <v>265</v>
      </c>
      <c r="B15" s="8" t="str">
        <f t="shared" si="0"/>
        <v>Aprovasc_Days_Remaining</v>
      </c>
      <c r="C15" s="1" t="str">
        <f t="shared" si="1"/>
        <v>Aprovasc</v>
      </c>
      <c r="D15">
        <v>28</v>
      </c>
      <c r="E15" s="7">
        <v>135</v>
      </c>
      <c r="F15">
        <f t="shared" si="2"/>
        <v>5</v>
      </c>
      <c r="I15" t="s">
        <v>230</v>
      </c>
    </row>
    <row r="16" spans="1:9" x14ac:dyDescent="0.2">
      <c r="A16" s="8" t="s">
        <v>165</v>
      </c>
      <c r="B16" s="8" t="str">
        <f t="shared" si="0"/>
        <v>Nifedipine 20mg_Days_Remaining</v>
      </c>
      <c r="C16" s="1" t="str">
        <f t="shared" si="1"/>
        <v>Nifedipine 20mg</v>
      </c>
      <c r="D16">
        <v>100</v>
      </c>
      <c r="E16" s="7">
        <v>124</v>
      </c>
      <c r="F16">
        <f t="shared" si="2"/>
        <v>1</v>
      </c>
      <c r="I16" t="s">
        <v>231</v>
      </c>
    </row>
    <row r="17" spans="1:9" x14ac:dyDescent="0.2">
      <c r="A17" s="8" t="s">
        <v>166</v>
      </c>
      <c r="B17" s="8" t="str">
        <f t="shared" si="0"/>
        <v>Labetalol hydrochloride_Days_Remaining</v>
      </c>
      <c r="C17" s="1" t="str">
        <f t="shared" si="1"/>
        <v>Labetalol hydrochloride</v>
      </c>
      <c r="D17">
        <v>30</v>
      </c>
      <c r="E17" s="7">
        <v>122</v>
      </c>
      <c r="F17">
        <f t="shared" si="2"/>
        <v>4</v>
      </c>
      <c r="I17" t="s">
        <v>232</v>
      </c>
    </row>
    <row r="18" spans="1:9" x14ac:dyDescent="0.2">
      <c r="A18" s="8" t="s">
        <v>209</v>
      </c>
      <c r="B18" s="8" t="str">
        <f t="shared" si="0"/>
        <v>Candesartan 16mg_Days_Remaining</v>
      </c>
      <c r="C18" s="1" t="str">
        <f t="shared" si="1"/>
        <v>Candesartan 16mg</v>
      </c>
      <c r="D18">
        <v>28</v>
      </c>
      <c r="E18" s="7">
        <v>109</v>
      </c>
      <c r="F18">
        <f t="shared" si="2"/>
        <v>4</v>
      </c>
      <c r="I18" t="s">
        <v>233</v>
      </c>
    </row>
    <row r="19" spans="1:9" x14ac:dyDescent="0.2">
      <c r="A19" s="8" t="s">
        <v>167</v>
      </c>
      <c r="B19" s="8" t="str">
        <f t="shared" si="0"/>
        <v>Coveram plus(10mg/2.5mg/10mg)_Days_Remaining</v>
      </c>
      <c r="C19" s="1" t="str">
        <f t="shared" si="1"/>
        <v>Coveram plus(10mg/2.5mg/10mg)</v>
      </c>
      <c r="D19">
        <v>30</v>
      </c>
      <c r="E19" s="7">
        <v>85</v>
      </c>
      <c r="F19">
        <f t="shared" si="2"/>
        <v>3</v>
      </c>
      <c r="I19" t="s">
        <v>234</v>
      </c>
    </row>
    <row r="20" spans="1:9" x14ac:dyDescent="0.2">
      <c r="A20" s="8" t="s">
        <v>168</v>
      </c>
      <c r="B20" s="8" t="str">
        <f t="shared" si="0"/>
        <v>Hydrochlorothiazide 12.5mg_Days_Remaining</v>
      </c>
      <c r="C20" s="1" t="str">
        <f t="shared" si="1"/>
        <v>Hydrochlorothiazide 12.5mg</v>
      </c>
      <c r="D20">
        <v>200</v>
      </c>
      <c r="E20" s="7">
        <v>75</v>
      </c>
      <c r="F20">
        <f t="shared" si="2"/>
        <v>0</v>
      </c>
      <c r="I20" t="s">
        <v>235</v>
      </c>
    </row>
    <row r="21" spans="1:9" x14ac:dyDescent="0.2">
      <c r="A21" s="8" t="s">
        <v>210</v>
      </c>
      <c r="B21" s="8" t="str">
        <f t="shared" si="0"/>
        <v>Co-diovan_Days_Remaining</v>
      </c>
      <c r="C21" s="1" t="str">
        <f t="shared" si="1"/>
        <v>Co-diovan</v>
      </c>
      <c r="D21">
        <v>28</v>
      </c>
      <c r="E21" s="7">
        <v>70</v>
      </c>
      <c r="F21">
        <f t="shared" si="2"/>
        <v>3</v>
      </c>
      <c r="I21" t="s">
        <v>235</v>
      </c>
    </row>
    <row r="22" spans="1:9" x14ac:dyDescent="0.2">
      <c r="A22" s="8" t="s">
        <v>211</v>
      </c>
      <c r="B22" s="8" t="str">
        <f t="shared" si="0"/>
        <v>Atenolol 100mg_Days_Remaining</v>
      </c>
      <c r="C22" s="1" t="str">
        <f t="shared" si="1"/>
        <v>Atenolol 100mg</v>
      </c>
      <c r="D22">
        <v>28</v>
      </c>
      <c r="E22" s="7">
        <v>65</v>
      </c>
      <c r="F22">
        <f t="shared" si="2"/>
        <v>2</v>
      </c>
      <c r="I22" t="s">
        <v>236</v>
      </c>
    </row>
    <row r="23" spans="1:9" x14ac:dyDescent="0.2">
      <c r="A23" s="8" t="s">
        <v>212</v>
      </c>
      <c r="B23" s="8" t="str">
        <f t="shared" si="0"/>
        <v>Valsartan 80mg_Days_Remaining</v>
      </c>
      <c r="C23" s="1" t="str">
        <f t="shared" si="1"/>
        <v>Valsartan 80mg</v>
      </c>
      <c r="D23">
        <v>28</v>
      </c>
      <c r="E23" s="7">
        <v>63</v>
      </c>
      <c r="F23">
        <f t="shared" si="2"/>
        <v>2</v>
      </c>
      <c r="I23" t="s">
        <v>237</v>
      </c>
    </row>
    <row r="24" spans="1:9" x14ac:dyDescent="0.2">
      <c r="A24" s="8" t="s">
        <v>169</v>
      </c>
      <c r="B24" s="8" t="str">
        <f t="shared" si="0"/>
        <v>Twynsta_Days_Remaining</v>
      </c>
      <c r="C24" s="1" t="str">
        <f t="shared" si="1"/>
        <v>Twynsta</v>
      </c>
      <c r="D24">
        <v>30</v>
      </c>
      <c r="E24" s="7">
        <v>48</v>
      </c>
      <c r="F24">
        <f t="shared" si="2"/>
        <v>2</v>
      </c>
      <c r="I24" t="s">
        <v>238</v>
      </c>
    </row>
    <row r="25" spans="1:9" x14ac:dyDescent="0.2">
      <c r="A25" s="8" t="s">
        <v>213</v>
      </c>
      <c r="B25" s="8" t="str">
        <f t="shared" si="0"/>
        <v>Furosemide 40mg_Days_Remaining</v>
      </c>
      <c r="C25" s="1" t="str">
        <f t="shared" si="1"/>
        <v>Furosemide 40mg</v>
      </c>
      <c r="D25">
        <v>28</v>
      </c>
      <c r="E25" s="7">
        <v>46</v>
      </c>
      <c r="F25">
        <f t="shared" si="2"/>
        <v>2</v>
      </c>
      <c r="I25" t="s">
        <v>239</v>
      </c>
    </row>
    <row r="26" spans="1:9" x14ac:dyDescent="0.2">
      <c r="A26" s="8" t="s">
        <v>266</v>
      </c>
      <c r="B26" s="8" t="str">
        <f t="shared" si="0"/>
        <v>Bisoprolol 5mg_Days_Remaining</v>
      </c>
      <c r="C26" s="1" t="str">
        <f t="shared" si="1"/>
        <v>Bisoprolol 5mg</v>
      </c>
      <c r="D26">
        <v>28</v>
      </c>
      <c r="E26" s="7">
        <v>40</v>
      </c>
      <c r="F26">
        <f t="shared" si="2"/>
        <v>1</v>
      </c>
      <c r="I26" t="s">
        <v>240</v>
      </c>
    </row>
    <row r="27" spans="1:9" x14ac:dyDescent="0.2">
      <c r="A27" s="8" t="s">
        <v>214</v>
      </c>
      <c r="B27" s="8" t="str">
        <f t="shared" si="0"/>
        <v>Candesartan 8mg_Days_Remaining</v>
      </c>
      <c r="C27" s="1" t="str">
        <f t="shared" si="1"/>
        <v>Candesartan 8mg</v>
      </c>
      <c r="D27">
        <v>28</v>
      </c>
      <c r="E27" s="7">
        <v>40</v>
      </c>
      <c r="F27">
        <f t="shared" si="2"/>
        <v>1</v>
      </c>
      <c r="I27" t="s">
        <v>241</v>
      </c>
    </row>
    <row r="28" spans="1:9" x14ac:dyDescent="0.2">
      <c r="A28" s="8" t="s">
        <v>215</v>
      </c>
      <c r="B28" s="8" t="str">
        <f t="shared" si="0"/>
        <v>Hydrochlorothiazide 25mg_Days_Remaining</v>
      </c>
      <c r="C28" s="1" t="str">
        <f t="shared" si="1"/>
        <v>Hydrochlorothiazide 25mg</v>
      </c>
      <c r="D28">
        <v>100</v>
      </c>
      <c r="E28" s="7">
        <v>40</v>
      </c>
      <c r="F28">
        <f t="shared" si="2"/>
        <v>0</v>
      </c>
      <c r="I28" t="s">
        <v>270</v>
      </c>
    </row>
    <row r="29" spans="1:9" x14ac:dyDescent="0.2">
      <c r="A29" s="8" t="s">
        <v>216</v>
      </c>
      <c r="B29" s="8" t="str">
        <f t="shared" si="0"/>
        <v>Propanolol 40mg_Days_Remaining</v>
      </c>
      <c r="C29" s="1" t="str">
        <f t="shared" si="1"/>
        <v>Propanolol 40mg</v>
      </c>
      <c r="D29">
        <v>28</v>
      </c>
      <c r="E29" s="7">
        <v>32</v>
      </c>
      <c r="F29">
        <f t="shared" si="2"/>
        <v>1</v>
      </c>
      <c r="I29" t="s">
        <v>271</v>
      </c>
    </row>
    <row r="30" spans="1:9" x14ac:dyDescent="0.2">
      <c r="A30" s="8" t="s">
        <v>217</v>
      </c>
      <c r="B30" s="8" t="str">
        <f t="shared" si="0"/>
        <v>Valsartan 160mg_Days_Remaining</v>
      </c>
      <c r="C30" s="1" t="str">
        <f t="shared" si="1"/>
        <v>Valsartan 160mg</v>
      </c>
      <c r="D30">
        <v>28</v>
      </c>
      <c r="E30" s="7">
        <v>25</v>
      </c>
      <c r="F30">
        <f t="shared" si="2"/>
        <v>1</v>
      </c>
      <c r="I30" t="s">
        <v>272</v>
      </c>
    </row>
    <row r="31" spans="1:9" x14ac:dyDescent="0.2">
      <c r="A31" s="8" t="s">
        <v>170</v>
      </c>
      <c r="B31" s="8" t="str">
        <f t="shared" si="0"/>
        <v>Torsemide 20mg_Days_Remaining</v>
      </c>
      <c r="C31" s="1" t="str">
        <f t="shared" si="1"/>
        <v>Torsemide 20mg</v>
      </c>
      <c r="D31">
        <v>30</v>
      </c>
      <c r="E31" s="7">
        <v>19</v>
      </c>
      <c r="F31">
        <f t="shared" si="2"/>
        <v>1</v>
      </c>
    </row>
    <row r="32" spans="1:9" x14ac:dyDescent="0.2">
      <c r="A32" s="8" t="s">
        <v>171</v>
      </c>
      <c r="B32" s="8" t="str">
        <f t="shared" si="0"/>
        <v>Doxazosin 4mg_Days_Remaining</v>
      </c>
      <c r="C32" s="1" t="str">
        <f t="shared" si="1"/>
        <v>Doxazosin 4mg</v>
      </c>
      <c r="D32">
        <v>28</v>
      </c>
      <c r="E32" s="7">
        <v>17</v>
      </c>
      <c r="F32">
        <f t="shared" si="2"/>
        <v>1</v>
      </c>
    </row>
    <row r="33" spans="1:6" x14ac:dyDescent="0.2">
      <c r="A33" s="8" t="s">
        <v>218</v>
      </c>
      <c r="B33" s="8" t="str">
        <f t="shared" si="0"/>
        <v>Atenolol 50mg_Days_Remaining</v>
      </c>
      <c r="C33" s="1" t="str">
        <f t="shared" si="1"/>
        <v>Atenolol 50mg</v>
      </c>
      <c r="D33">
        <v>28</v>
      </c>
      <c r="E33" s="7">
        <v>11</v>
      </c>
      <c r="F33">
        <f t="shared" si="2"/>
        <v>0</v>
      </c>
    </row>
    <row r="34" spans="1:6" x14ac:dyDescent="0.2">
      <c r="A34" s="8" t="s">
        <v>267</v>
      </c>
      <c r="B34" s="8" t="str">
        <f t="shared" si="0"/>
        <v>Methyldopa 250mg_Days_Remaining</v>
      </c>
      <c r="C34" s="1" t="str">
        <f t="shared" si="1"/>
        <v>Methyldopa 250mg</v>
      </c>
      <c r="D34">
        <v>30</v>
      </c>
      <c r="E34" s="7">
        <v>10</v>
      </c>
      <c r="F34">
        <f t="shared" si="2"/>
        <v>0</v>
      </c>
    </row>
    <row r="35" spans="1:6" x14ac:dyDescent="0.2">
      <c r="A35" s="8" t="s">
        <v>219</v>
      </c>
      <c r="B35" s="8" t="str">
        <f t="shared" si="0"/>
        <v>Furosemide 20mg_Days_Remaining</v>
      </c>
      <c r="C35" s="1" t="str">
        <f t="shared" si="1"/>
        <v>Furosemide 20mg</v>
      </c>
      <c r="D35">
        <v>30</v>
      </c>
      <c r="E35" s="7">
        <v>9</v>
      </c>
      <c r="F35">
        <f t="shared" si="2"/>
        <v>0</v>
      </c>
    </row>
    <row r="36" spans="1:6" x14ac:dyDescent="0.2">
      <c r="A36" s="8" t="s">
        <v>172</v>
      </c>
      <c r="B36" s="8" t="str">
        <f t="shared" si="0"/>
        <v>Coveram 5mg/5mg_Days_Remaining</v>
      </c>
      <c r="C36" s="1" t="str">
        <f t="shared" si="1"/>
        <v>Coveram 5mg/5mg</v>
      </c>
      <c r="D36">
        <v>50</v>
      </c>
      <c r="E36" s="7">
        <v>4</v>
      </c>
      <c r="F36">
        <f t="shared" si="2"/>
        <v>0</v>
      </c>
    </row>
    <row r="37" spans="1:6" x14ac:dyDescent="0.2">
      <c r="A37" s="8" t="s">
        <v>173</v>
      </c>
      <c r="B37" s="8" t="str">
        <f t="shared" si="0"/>
        <v>Methyldopa 500mg_Days_Remaining</v>
      </c>
      <c r="C37" s="1" t="str">
        <f t="shared" si="1"/>
        <v>Methyldopa 500mg</v>
      </c>
      <c r="D37">
        <v>28</v>
      </c>
      <c r="E37" s="7">
        <v>3</v>
      </c>
      <c r="F37">
        <f t="shared" si="2"/>
        <v>0</v>
      </c>
    </row>
    <row r="38" spans="1:6" x14ac:dyDescent="0.2">
      <c r="A38" s="8" t="s">
        <v>220</v>
      </c>
      <c r="B38" s="8" t="str">
        <f t="shared" si="0"/>
        <v>Avsar 10/160mg_Days_Remaining</v>
      </c>
      <c r="C38" s="1" t="str">
        <f t="shared" si="1"/>
        <v>Avsar 10/160mg</v>
      </c>
      <c r="D38">
        <v>28</v>
      </c>
      <c r="E38" s="7">
        <v>1</v>
      </c>
      <c r="F38">
        <f t="shared" si="2"/>
        <v>0</v>
      </c>
    </row>
    <row r="39" spans="1:6" x14ac:dyDescent="0.2">
      <c r="A39" s="8" t="s">
        <v>174</v>
      </c>
      <c r="B39" s="8" t="str">
        <f t="shared" si="0"/>
        <v>Exforge hct_Days_Remaining</v>
      </c>
      <c r="C39" s="1" t="str">
        <f t="shared" si="1"/>
        <v>Exforge hct</v>
      </c>
      <c r="D39">
        <v>30</v>
      </c>
      <c r="E39" s="7">
        <v>0</v>
      </c>
      <c r="F39">
        <f t="shared" si="2"/>
        <v>0</v>
      </c>
    </row>
    <row r="40" spans="1:6" x14ac:dyDescent="0.2">
      <c r="A40" s="8" t="s">
        <v>180</v>
      </c>
      <c r="B40" s="8" t="str">
        <f t="shared" si="0"/>
        <v>Doxazosin 2mg_Days_Remaining</v>
      </c>
      <c r="C40" s="1" t="str">
        <f t="shared" si="1"/>
        <v>Doxazosin 2mg</v>
      </c>
      <c r="D40">
        <v>28</v>
      </c>
      <c r="E40" s="7">
        <v>0</v>
      </c>
      <c r="F40">
        <f t="shared" si="2"/>
        <v>0</v>
      </c>
    </row>
    <row r="41" spans="1:6" x14ac:dyDescent="0.2">
      <c r="A41" s="8" t="s">
        <v>175</v>
      </c>
      <c r="B41" s="8" t="str">
        <f t="shared" si="0"/>
        <v>Metoprolol 50mg_Days_Remaining</v>
      </c>
      <c r="C41" s="1" t="str">
        <f t="shared" si="1"/>
        <v>Metoprolol 50mg</v>
      </c>
      <c r="D41">
        <v>30</v>
      </c>
      <c r="E41" s="7">
        <v>0</v>
      </c>
      <c r="F41">
        <f t="shared" si="2"/>
        <v>0</v>
      </c>
    </row>
    <row r="42" spans="1:6" x14ac:dyDescent="0.2">
      <c r="A42" s="8" t="s">
        <v>177</v>
      </c>
      <c r="B42" s="8" t="str">
        <f t="shared" si="0"/>
        <v>Carvals H 160/25mg_Days_Remaining</v>
      </c>
      <c r="C42" s="1" t="str">
        <f t="shared" si="1"/>
        <v>Carvals H 160/25mg</v>
      </c>
      <c r="D42">
        <v>28</v>
      </c>
      <c r="E42" s="7">
        <v>0</v>
      </c>
      <c r="F42">
        <f t="shared" si="2"/>
        <v>0</v>
      </c>
    </row>
    <row r="43" spans="1:6" x14ac:dyDescent="0.2">
      <c r="A43" s="8" t="s">
        <v>178</v>
      </c>
      <c r="B43" s="8" t="str">
        <f t="shared" si="0"/>
        <v>Nebivolol 10mg_Days_Remaining</v>
      </c>
      <c r="C43" s="1" t="str">
        <f t="shared" si="1"/>
        <v>Nebivolol 10mg</v>
      </c>
      <c r="D43">
        <v>28</v>
      </c>
      <c r="E43" s="7">
        <v>0</v>
      </c>
      <c r="F43">
        <f t="shared" si="2"/>
        <v>0</v>
      </c>
    </row>
    <row r="44" spans="1:6" x14ac:dyDescent="0.2">
      <c r="A44" s="8" t="s">
        <v>179</v>
      </c>
      <c r="B44" s="8" t="str">
        <f t="shared" si="0"/>
        <v>Nebivolol 5mg_Days_Remaining</v>
      </c>
      <c r="C44" s="1" t="str">
        <f t="shared" si="1"/>
        <v>Nebivolol 5mg</v>
      </c>
      <c r="D44">
        <v>28</v>
      </c>
      <c r="E44" s="7">
        <v>0</v>
      </c>
      <c r="F44">
        <f t="shared" si="2"/>
        <v>0</v>
      </c>
    </row>
    <row r="45" spans="1:6" x14ac:dyDescent="0.2">
      <c r="A45" s="8" t="s">
        <v>181</v>
      </c>
      <c r="B45" s="8" t="str">
        <f t="shared" si="0"/>
        <v>Coversyl 10mg_Days_Remaining</v>
      </c>
      <c r="C45" s="1" t="str">
        <f t="shared" si="1"/>
        <v>Coversyl 10mg</v>
      </c>
      <c r="D45">
        <v>30</v>
      </c>
      <c r="E45" s="7">
        <v>0</v>
      </c>
      <c r="F45">
        <f t="shared" si="2"/>
        <v>0</v>
      </c>
    </row>
    <row r="46" spans="1:6" x14ac:dyDescent="0.2">
      <c r="A46" s="8" t="s">
        <v>182</v>
      </c>
      <c r="B46" s="8" t="str">
        <f t="shared" si="0"/>
        <v>Avantec 16/12.5_Days_Remaining</v>
      </c>
      <c r="C46" s="1" t="str">
        <f t="shared" si="1"/>
        <v>Avantec 16/12.5</v>
      </c>
      <c r="D46">
        <v>28</v>
      </c>
      <c r="E46" s="7">
        <v>0</v>
      </c>
      <c r="F46">
        <f t="shared" si="2"/>
        <v>0</v>
      </c>
    </row>
    <row r="47" spans="1:6" x14ac:dyDescent="0.2">
      <c r="A47" s="8" t="s">
        <v>176</v>
      </c>
      <c r="B47" s="8" t="str">
        <f t="shared" si="0"/>
        <v>Propanolol 80mg_Days_Remaining</v>
      </c>
      <c r="C47" s="1" t="str">
        <f t="shared" si="1"/>
        <v>Propanolol 80mg</v>
      </c>
      <c r="D47">
        <v>28</v>
      </c>
      <c r="E47" s="7">
        <v>0</v>
      </c>
      <c r="F47">
        <f t="shared" si="2"/>
        <v>0</v>
      </c>
    </row>
    <row r="48" spans="1:6" x14ac:dyDescent="0.2">
      <c r="A48" s="8" t="s">
        <v>183</v>
      </c>
      <c r="B48" s="8" t="str">
        <f t="shared" si="0"/>
        <v>Carvedilol 12.5mg_Days_Remaining</v>
      </c>
      <c r="C48" s="1" t="str">
        <f t="shared" si="1"/>
        <v>Carvedilol 12.5mg</v>
      </c>
      <c r="D48">
        <v>28</v>
      </c>
      <c r="E48" s="7">
        <v>0</v>
      </c>
      <c r="F48">
        <f t="shared" si="2"/>
        <v>0</v>
      </c>
    </row>
    <row r="49" spans="1:6" x14ac:dyDescent="0.2">
      <c r="A49" s="8" t="s">
        <v>184</v>
      </c>
      <c r="B49" s="8" t="str">
        <f t="shared" si="0"/>
        <v>Carvedilol 6.25mg_Days_Remaining</v>
      </c>
      <c r="C49" s="1" t="str">
        <f t="shared" si="1"/>
        <v>Carvedilol 6.25mg</v>
      </c>
      <c r="D49">
        <v>28</v>
      </c>
      <c r="E49" s="7">
        <v>0</v>
      </c>
      <c r="F49">
        <f t="shared" si="2"/>
        <v>0</v>
      </c>
    </row>
    <row r="50" spans="1:6" x14ac:dyDescent="0.2">
      <c r="A50" s="8" t="s">
        <v>185</v>
      </c>
      <c r="B50" s="8" t="str">
        <f t="shared" si="0"/>
        <v>Carvedilol 3.125mg_Days_Remaining</v>
      </c>
      <c r="C50" s="1" t="str">
        <f t="shared" si="1"/>
        <v>Carvedilol 3.125mg</v>
      </c>
      <c r="D50">
        <v>30</v>
      </c>
      <c r="E50" s="7">
        <v>0</v>
      </c>
      <c r="F50">
        <f t="shared" si="2"/>
        <v>0</v>
      </c>
    </row>
    <row r="51" spans="1:6" x14ac:dyDescent="0.2">
      <c r="A51" s="8" t="s">
        <v>186</v>
      </c>
      <c r="B51" s="8" t="str">
        <f t="shared" si="0"/>
        <v>Captopril_Days_Remaining</v>
      </c>
      <c r="C51" s="1" t="str">
        <f t="shared" si="1"/>
        <v>Captopril</v>
      </c>
      <c r="D51">
        <v>30</v>
      </c>
      <c r="E51" s="7">
        <v>0</v>
      </c>
      <c r="F51">
        <f t="shared" si="2"/>
        <v>0</v>
      </c>
    </row>
    <row r="52" spans="1:6" x14ac:dyDescent="0.2">
      <c r="A52" s="8" t="s">
        <v>187</v>
      </c>
      <c r="B52" s="8" t="str">
        <f t="shared" si="0"/>
        <v>Coveram (10mg/10mg)_Days_Remaining</v>
      </c>
      <c r="C52" s="1" t="str">
        <f t="shared" si="1"/>
        <v>Coveram (10mg/10mg)</v>
      </c>
      <c r="D52">
        <v>30</v>
      </c>
      <c r="E52" s="7">
        <v>0</v>
      </c>
      <c r="F52">
        <f t="shared" si="2"/>
        <v>0</v>
      </c>
    </row>
    <row r="53" spans="1:6" x14ac:dyDescent="0.2">
      <c r="A53" s="8" t="s">
        <v>188</v>
      </c>
      <c r="B53" s="8" t="str">
        <f t="shared" si="0"/>
        <v>Coveram plus(5mg/2.5mg/5mg)_Days_Remaining</v>
      </c>
      <c r="C53" s="1" t="str">
        <f t="shared" si="1"/>
        <v>Coveram plus(5mg/2.5mg/5mg)</v>
      </c>
      <c r="D53">
        <v>30</v>
      </c>
      <c r="E53" s="7">
        <v>0</v>
      </c>
      <c r="F53">
        <f t="shared" si="2"/>
        <v>0</v>
      </c>
    </row>
    <row r="54" spans="1:6" x14ac:dyDescent="0.2">
      <c r="A54" s="8" t="s">
        <v>189</v>
      </c>
      <c r="B54" s="8" t="str">
        <f t="shared" si="0"/>
        <v>Coveram(5mg/1.25mg/5mg)_Days_Remaining</v>
      </c>
      <c r="C54" s="1" t="str">
        <f t="shared" si="1"/>
        <v>Coveram(5mg/1.25mg/5mg)</v>
      </c>
      <c r="D54">
        <v>28</v>
      </c>
      <c r="E54" s="7">
        <v>0</v>
      </c>
      <c r="F54">
        <f t="shared" si="2"/>
        <v>0</v>
      </c>
    </row>
    <row r="55" spans="1:6" x14ac:dyDescent="0.2">
      <c r="A55" s="8" t="s">
        <v>190</v>
      </c>
      <c r="B55" s="8" t="str">
        <f t="shared" si="0"/>
        <v>Avantec 32/12.5_Days_Remaining</v>
      </c>
      <c r="C55" s="1" t="str">
        <f t="shared" si="1"/>
        <v>Avantec 32/12.5</v>
      </c>
      <c r="D55">
        <v>56</v>
      </c>
      <c r="E55" s="7">
        <v>0</v>
      </c>
      <c r="F55">
        <f t="shared" si="2"/>
        <v>0</v>
      </c>
    </row>
    <row r="56" spans="1:6" x14ac:dyDescent="0.2">
      <c r="A56" s="8" t="s">
        <v>191</v>
      </c>
      <c r="B56" s="8" t="str">
        <f t="shared" si="0"/>
        <v>Telmisartan 40mg_Days_Remaining</v>
      </c>
      <c r="C56" s="1" t="str">
        <f t="shared" si="1"/>
        <v>Telmisartan 40mg</v>
      </c>
      <c r="D56">
        <v>30</v>
      </c>
      <c r="E56" s="7">
        <v>0</v>
      </c>
      <c r="F56">
        <f t="shared" si="2"/>
        <v>0</v>
      </c>
    </row>
    <row r="57" spans="1:6" x14ac:dyDescent="0.2">
      <c r="A57" s="8" t="s">
        <v>192</v>
      </c>
      <c r="B57" s="8" t="str">
        <f t="shared" si="0"/>
        <v>Torsemide 10mg_Days_Remaining</v>
      </c>
      <c r="C57" s="1" t="str">
        <f t="shared" si="1"/>
        <v>Torsemide 10mg</v>
      </c>
      <c r="D57">
        <v>30</v>
      </c>
      <c r="E57" s="7">
        <v>0</v>
      </c>
      <c r="F57">
        <f t="shared" si="2"/>
        <v>0</v>
      </c>
    </row>
    <row r="58" spans="1:6" x14ac:dyDescent="0.2">
      <c r="A58" s="8" t="s">
        <v>193</v>
      </c>
      <c r="F58" t="e">
        <f t="shared" si="2"/>
        <v>#DIV/0!</v>
      </c>
    </row>
    <row r="59" spans="1:6" x14ac:dyDescent="0.2">
      <c r="A59" s="8" t="s">
        <v>221</v>
      </c>
      <c r="F59" t="e">
        <f t="shared" si="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dispensed and consumption</vt:lpstr>
      <vt:lpstr>probability</vt:lpstr>
      <vt:lpstr>Early refill</vt:lpstr>
      <vt:lpstr>left_over tablets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Obinna Agunanna</dc:creator>
  <cp:lastModifiedBy>USER</cp:lastModifiedBy>
  <dcterms:created xsi:type="dcterms:W3CDTF">2025-07-02T07:58:03Z</dcterms:created>
  <dcterms:modified xsi:type="dcterms:W3CDTF">2025-11-17T05:52:12Z</dcterms:modified>
</cp:coreProperties>
</file>